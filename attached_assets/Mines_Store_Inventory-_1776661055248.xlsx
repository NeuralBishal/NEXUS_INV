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oumendu.maji\Downloads\"/>
    </mc:Choice>
  </mc:AlternateContent>
  <xr:revisionPtr revIDLastSave="0" documentId="8_{B5492419-B262-4866-9698-38C12688232C}" xr6:coauthVersionLast="47" xr6:coauthVersionMax="47" xr10:uidLastSave="{00000000-0000-0000-0000-000000000000}"/>
  <bookViews>
    <workbookView xWindow="-120" yWindow="-120" windowWidth="29040" windowHeight="15720" firstSheet="1" activeTab="1" xr2:uid="{35C468BD-886A-4AF8-A634-5347517E0E18}"/>
  </bookViews>
  <sheets>
    <sheet name="Pivot" sheetId="18" r:id="rId1"/>
    <sheet name="Inventory" sheetId="17" r:id="rId2"/>
    <sheet name="TOOLS " sheetId="21" r:id="rId3"/>
    <sheet name="MISCLLANEOUS" sheetId="1" state="hidden" r:id="rId4"/>
    <sheet name="BREAKER" sheetId="2" state="hidden" r:id="rId5"/>
    <sheet name="SANY 300T" sheetId="4" state="hidden" r:id="rId6"/>
    <sheet name="CHERRY PICKER" sheetId="5" state="hidden" r:id="rId7"/>
    <sheet name="KRILOSKER" sheetId="10" state="hidden" r:id="rId8"/>
    <sheet name="HYDRA" sheetId="11" state="hidden" r:id="rId9"/>
    <sheet name="Sheet3" sheetId="19" state="hidden" r:id="rId10"/>
    <sheet name="WATER TANKER" sheetId="14" state="hidden" r:id="rId11"/>
    <sheet name="FAN BELT" sheetId="13" state="hidden" r:id="rId12"/>
    <sheet name="WELDING ACCESSORIES" sheetId="16" state="hidden" r:id="rId13"/>
  </sheets>
  <definedNames>
    <definedName name="Slicer_CATEGORY">#N/A</definedName>
    <definedName name="Slicer_LOCATION">#N/A</definedName>
  </definedNames>
  <calcPr calcId="191028"/>
  <pivotCaches>
    <pivotCache cacheId="0"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26" i="17" l="1"/>
  <c r="I625" i="17"/>
  <c r="E583" i="17"/>
  <c r="E584" i="17"/>
  <c r="E585" i="17"/>
  <c r="E623" i="17"/>
  <c r="E624" i="17" l="1"/>
  <c r="I624" i="17" s="1"/>
  <c r="L231" i="17"/>
  <c r="F70" i="17"/>
  <c r="L70" i="17"/>
  <c r="L39" i="17"/>
  <c r="I623" i="17" l="1"/>
  <c r="E622" i="17"/>
  <c r="I622" i="17" s="1"/>
  <c r="E621" i="17"/>
  <c r="I621" i="17" s="1"/>
  <c r="E620" i="17"/>
  <c r="I620" i="17" s="1"/>
  <c r="E619" i="17"/>
  <c r="I619" i="17" s="1"/>
  <c r="E618" i="17"/>
  <c r="I618" i="17" s="1"/>
  <c r="E617" i="17"/>
  <c r="I617" i="17" s="1"/>
  <c r="E616" i="17"/>
  <c r="I616" i="17" s="1"/>
  <c r="E615" i="17"/>
  <c r="I615" i="17" s="1"/>
  <c r="E614" i="17"/>
  <c r="I614" i="17" s="1"/>
  <c r="E613" i="17"/>
  <c r="I613" i="17" s="1"/>
  <c r="E612" i="17"/>
  <c r="I612" i="17" s="1"/>
  <c r="E611" i="17"/>
  <c r="I611" i="17" s="1"/>
  <c r="E610" i="17"/>
  <c r="I610" i="17" s="1"/>
  <c r="E609" i="17"/>
  <c r="I609" i="17" s="1"/>
  <c r="E608" i="17"/>
  <c r="I608" i="17" s="1"/>
  <c r="E607" i="17"/>
  <c r="I607" i="17" s="1"/>
  <c r="E606" i="17"/>
  <c r="I606" i="17" s="1"/>
  <c r="E605" i="17"/>
  <c r="I605" i="17" s="1"/>
  <c r="E604" i="17"/>
  <c r="I604" i="17" s="1"/>
  <c r="E603" i="17"/>
  <c r="I603" i="17" s="1"/>
  <c r="E602" i="17"/>
  <c r="I602" i="17" s="1"/>
  <c r="E601" i="17"/>
  <c r="I601" i="17" s="1"/>
  <c r="E600" i="17"/>
  <c r="I600" i="17" s="1"/>
  <c r="E599" i="17"/>
  <c r="I599" i="17" s="1"/>
  <c r="E598" i="17"/>
  <c r="I598" i="17" s="1"/>
  <c r="E597" i="17"/>
  <c r="I597" i="17" s="1"/>
  <c r="E596" i="17"/>
  <c r="I596" i="17" s="1"/>
  <c r="E595" i="17"/>
  <c r="I595" i="17" s="1"/>
  <c r="E594" i="17"/>
  <c r="I594" i="17" s="1"/>
  <c r="E593" i="17"/>
  <c r="I593" i="17" s="1"/>
  <c r="E592" i="17"/>
  <c r="I592" i="17" s="1"/>
  <c r="E591" i="17"/>
  <c r="I591" i="17" s="1"/>
  <c r="E590" i="17"/>
  <c r="I590" i="17" s="1"/>
  <c r="E589" i="17"/>
  <c r="I589" i="17" s="1"/>
  <c r="E588" i="17"/>
  <c r="I588" i="17" s="1"/>
  <c r="E587" i="17"/>
  <c r="I587" i="17" s="1"/>
  <c r="E586" i="17"/>
  <c r="I586" i="17" s="1"/>
  <c r="I585" i="17"/>
  <c r="I584" i="17"/>
  <c r="I583" i="17"/>
  <c r="E575" i="17"/>
  <c r="I575" i="17" s="1"/>
  <c r="E574" i="17"/>
  <c r="I574" i="17" s="1"/>
  <c r="E573" i="17"/>
  <c r="I573" i="17" s="1"/>
  <c r="E572" i="17"/>
  <c r="I572" i="17" s="1"/>
  <c r="E571" i="17"/>
  <c r="I571" i="17" s="1"/>
  <c r="E570" i="17"/>
  <c r="I570" i="17" s="1"/>
  <c r="E569" i="17"/>
  <c r="I569" i="17" s="1"/>
  <c r="E568" i="17"/>
  <c r="I568" i="17" s="1"/>
  <c r="E567" i="17"/>
  <c r="I567" i="17" s="1"/>
  <c r="E566" i="17"/>
  <c r="I566" i="17" s="1"/>
  <c r="E565" i="17" l="1"/>
  <c r="I565" i="17" s="1"/>
  <c r="E561" i="17"/>
  <c r="I561" i="17" s="1"/>
  <c r="E562" i="17"/>
  <c r="I562" i="17" s="1"/>
  <c r="E563" i="17"/>
  <c r="I563" i="17" s="1"/>
  <c r="E564" i="17"/>
  <c r="I564" i="17" s="1"/>
  <c r="E560" i="17"/>
  <c r="I560" i="17" s="1"/>
  <c r="E559" i="17"/>
  <c r="I559" i="17" s="1"/>
  <c r="E558" i="17"/>
  <c r="I558" i="17" s="1"/>
  <c r="E557" i="17" l="1"/>
  <c r="I557" i="17" s="1"/>
  <c r="E556" i="17"/>
  <c r="I556" i="17" s="1"/>
  <c r="E555" i="17"/>
  <c r="I555" i="17" s="1"/>
  <c r="E554" i="17"/>
  <c r="I554" i="17" s="1"/>
  <c r="E553" i="17"/>
  <c r="I553" i="17" s="1"/>
  <c r="E552" i="17"/>
  <c r="I552" i="17" s="1"/>
  <c r="E551" i="17"/>
  <c r="I551" i="17" s="1"/>
  <c r="E550" i="17"/>
  <c r="I550" i="17" s="1"/>
  <c r="E549" i="17"/>
  <c r="I549" i="17" s="1"/>
  <c r="E548" i="17"/>
  <c r="I548" i="17" s="1"/>
  <c r="E547" i="17"/>
  <c r="I547" i="17" s="1"/>
  <c r="E546" i="17"/>
  <c r="I546" i="17" s="1"/>
  <c r="E545" i="17"/>
  <c r="I545" i="17" s="1"/>
  <c r="E544" i="17"/>
  <c r="I544" i="17" s="1"/>
  <c r="E543" i="17"/>
  <c r="I543" i="17" s="1"/>
  <c r="E542" i="17"/>
  <c r="I542" i="17" s="1"/>
  <c r="E541" i="17"/>
  <c r="I541" i="17" s="1"/>
  <c r="E540" i="17"/>
  <c r="I540" i="17" s="1"/>
  <c r="E539" i="17"/>
  <c r="I539" i="17" s="1"/>
  <c r="E538" i="17"/>
  <c r="I538" i="17" s="1"/>
  <c r="E537" i="17"/>
  <c r="I537" i="17" s="1"/>
  <c r="E536" i="17"/>
  <c r="I536" i="17" s="1"/>
  <c r="E535" i="17"/>
  <c r="I535" i="17" s="1"/>
  <c r="E534" i="17"/>
  <c r="I534" i="17" s="1"/>
  <c r="E533" i="17"/>
  <c r="I533" i="17" s="1"/>
  <c r="E532" i="17"/>
  <c r="I532" i="17" s="1"/>
  <c r="E531" i="17"/>
  <c r="I531" i="17" s="1"/>
  <c r="E530" i="17"/>
  <c r="I530" i="17" s="1"/>
  <c r="E529" i="17"/>
  <c r="I529" i="17" s="1"/>
  <c r="E528" i="17"/>
  <c r="I528" i="17" s="1"/>
  <c r="E527" i="17"/>
  <c r="I527" i="17" s="1"/>
  <c r="E526" i="17"/>
  <c r="I526" i="17" s="1"/>
  <c r="E525" i="17"/>
  <c r="I525" i="17" s="1"/>
  <c r="E524" i="17"/>
  <c r="I524" i="17" s="1"/>
  <c r="E523" i="17"/>
  <c r="I523" i="17" s="1"/>
  <c r="E522" i="17"/>
  <c r="I522" i="17" s="1"/>
  <c r="E521" i="17"/>
  <c r="I521" i="17" s="1"/>
  <c r="E520" i="17"/>
  <c r="I520" i="17" s="1"/>
  <c r="E519" i="17"/>
  <c r="I519" i="17" s="1"/>
  <c r="E518" i="17"/>
  <c r="I518" i="17" s="1"/>
  <c r="E517" i="17"/>
  <c r="I517" i="17" s="1"/>
  <c r="E516" i="17"/>
  <c r="I516" i="17" s="1"/>
  <c r="E515" i="17"/>
  <c r="I515" i="17" s="1"/>
  <c r="E514" i="17"/>
  <c r="I514" i="17" s="1"/>
  <c r="E513" i="17"/>
  <c r="I513" i="17" s="1"/>
  <c r="E512" i="17"/>
  <c r="I512" i="17" s="1"/>
  <c r="E511" i="17"/>
  <c r="I511" i="17" s="1"/>
  <c r="E510" i="17"/>
  <c r="I510" i="17" s="1"/>
  <c r="E509" i="17"/>
  <c r="I509" i="17" s="1"/>
  <c r="E508" i="17"/>
  <c r="I508" i="17" s="1"/>
  <c r="E507" i="17"/>
  <c r="I507" i="17" s="1"/>
  <c r="E506" i="17"/>
  <c r="I506" i="17" s="1"/>
  <c r="E505" i="17"/>
  <c r="I505" i="17" s="1"/>
  <c r="E504" i="17"/>
  <c r="I504" i="17" s="1"/>
  <c r="E503" i="17"/>
  <c r="I503" i="17" s="1"/>
  <c r="E502" i="17"/>
  <c r="I502" i="17" s="1"/>
  <c r="E501" i="17"/>
  <c r="I501" i="17" s="1"/>
  <c r="E500" i="17"/>
  <c r="I500" i="17" s="1"/>
  <c r="E499" i="17"/>
  <c r="I499" i="17" s="1"/>
  <c r="E498" i="17"/>
  <c r="I498" i="17" s="1"/>
  <c r="E497" i="17"/>
  <c r="I497" i="17" s="1"/>
  <c r="E496" i="17"/>
  <c r="I496" i="17" s="1"/>
  <c r="E495" i="17"/>
  <c r="I495" i="17" s="1"/>
  <c r="E494" i="17"/>
  <c r="I494" i="17" s="1"/>
  <c r="E493" i="17"/>
  <c r="I493" i="17" s="1"/>
  <c r="E492" i="17"/>
  <c r="I492" i="17" s="1"/>
  <c r="E491" i="17"/>
  <c r="I491" i="17" s="1"/>
  <c r="E490" i="17"/>
  <c r="I490" i="17" s="1"/>
  <c r="E489" i="17"/>
  <c r="I489" i="17" s="1"/>
  <c r="E488" i="17"/>
  <c r="I488" i="17" s="1"/>
  <c r="E487" i="17"/>
  <c r="I487" i="17" s="1"/>
  <c r="E486" i="17"/>
  <c r="I486" i="17" s="1"/>
  <c r="E485" i="17"/>
  <c r="I485" i="17" s="1"/>
  <c r="E484" i="17"/>
  <c r="I484" i="17" s="1"/>
  <c r="E483" i="17"/>
  <c r="I483" i="17" s="1"/>
  <c r="E482" i="17"/>
  <c r="I482" i="17" s="1"/>
  <c r="E481" i="17"/>
  <c r="I481" i="17" s="1"/>
  <c r="E480" i="17"/>
  <c r="I480" i="17" s="1"/>
  <c r="E479" i="17"/>
  <c r="I479" i="17" s="1"/>
  <c r="E478" i="17"/>
  <c r="I478" i="17" s="1"/>
  <c r="E477" i="17"/>
  <c r="I477" i="17" s="1"/>
  <c r="E476" i="17"/>
  <c r="I476" i="17" s="1"/>
  <c r="E475" i="17"/>
  <c r="I475" i="17" s="1"/>
  <c r="E474" i="17"/>
  <c r="I474" i="17" s="1"/>
  <c r="E473" i="17"/>
  <c r="I473" i="17" s="1"/>
  <c r="E472" i="17"/>
  <c r="I472" i="17" s="1"/>
  <c r="E471" i="17"/>
  <c r="I471" i="17" s="1"/>
  <c r="E470" i="17"/>
  <c r="I470" i="17" s="1"/>
  <c r="E469" i="17"/>
  <c r="I469" i="17" s="1"/>
  <c r="E468" i="17"/>
  <c r="I468" i="17" s="1"/>
  <c r="E467" i="17"/>
  <c r="I467" i="17" s="1"/>
  <c r="E466" i="17"/>
  <c r="I466" i="17" s="1"/>
  <c r="E465" i="17"/>
  <c r="I465" i="17" s="1"/>
  <c r="E464" i="17"/>
  <c r="I464" i="17" s="1"/>
  <c r="E463" i="17"/>
  <c r="I463" i="17" s="1"/>
  <c r="E462" i="17"/>
  <c r="I462" i="17" s="1"/>
  <c r="E461" i="17"/>
  <c r="I461" i="17" s="1"/>
  <c r="E460" i="17"/>
  <c r="I460" i="17" s="1"/>
  <c r="E459" i="17"/>
  <c r="I459" i="17" s="1"/>
  <c r="E458" i="17"/>
  <c r="I458" i="17" s="1"/>
  <c r="E457" i="17"/>
  <c r="I457" i="17" s="1"/>
  <c r="E456" i="17"/>
  <c r="I456" i="17" s="1"/>
  <c r="E455" i="17"/>
  <c r="I455" i="17" s="1"/>
  <c r="E454" i="17"/>
  <c r="I454" i="17" s="1"/>
  <c r="E453" i="17"/>
  <c r="I453" i="17" s="1"/>
  <c r="E452" i="17"/>
  <c r="I452" i="17" s="1"/>
  <c r="E451" i="17"/>
  <c r="I451" i="17" s="1"/>
  <c r="E450" i="17"/>
  <c r="I450" i="17" s="1"/>
  <c r="E449" i="17"/>
  <c r="I449" i="17" s="1"/>
  <c r="E448" i="17"/>
  <c r="I448" i="17" s="1"/>
  <c r="E447" i="17"/>
  <c r="I447" i="17" s="1"/>
  <c r="E446" i="17"/>
  <c r="I446" i="17" s="1"/>
  <c r="E445" i="17"/>
  <c r="I445" i="17" s="1"/>
  <c r="E444" i="17"/>
  <c r="I444" i="17" s="1"/>
  <c r="E443" i="17"/>
  <c r="I443" i="17" s="1"/>
  <c r="E442" i="17"/>
  <c r="I442" i="17" s="1"/>
  <c r="E441" i="17"/>
  <c r="I441" i="17" s="1"/>
  <c r="E440" i="17"/>
  <c r="I440" i="17" s="1"/>
  <c r="E439" i="17"/>
  <c r="I439" i="17" s="1"/>
  <c r="E438" i="17"/>
  <c r="I438" i="17" s="1"/>
  <c r="E437" i="17"/>
  <c r="I437" i="17" s="1"/>
  <c r="E436" i="17"/>
  <c r="I436" i="17" s="1"/>
  <c r="E435" i="17"/>
  <c r="I435" i="17" s="1"/>
  <c r="E434" i="17"/>
  <c r="I434" i="17" s="1"/>
  <c r="E433" i="17"/>
  <c r="I433" i="17" s="1"/>
  <c r="E432" i="17"/>
  <c r="I432" i="17" s="1"/>
  <c r="E431" i="17"/>
  <c r="I431" i="17" s="1"/>
  <c r="E430" i="17"/>
  <c r="I430" i="17" s="1"/>
  <c r="E429" i="17"/>
  <c r="I429" i="17" s="1"/>
  <c r="E428" i="17"/>
  <c r="I428" i="17" s="1"/>
  <c r="E427" i="17"/>
  <c r="I427" i="17" s="1"/>
  <c r="E426" i="17"/>
  <c r="I426" i="17" s="1"/>
  <c r="E425" i="17"/>
  <c r="I425" i="17" s="1"/>
  <c r="E424" i="17"/>
  <c r="I424" i="17" s="1"/>
  <c r="E423" i="17"/>
  <c r="I423" i="17" s="1"/>
  <c r="E422" i="17"/>
  <c r="I422" i="17" s="1"/>
  <c r="E421" i="17"/>
  <c r="I421" i="17" s="1"/>
  <c r="E420" i="17"/>
  <c r="I420" i="17" s="1"/>
  <c r="E419" i="17"/>
  <c r="I419" i="17" s="1"/>
  <c r="E418" i="17"/>
  <c r="I418" i="17" s="1"/>
  <c r="E417" i="17"/>
  <c r="I417" i="17" s="1"/>
  <c r="E416" i="17"/>
  <c r="I416" i="17" s="1"/>
  <c r="E415" i="17"/>
  <c r="I415" i="17" s="1"/>
  <c r="E414" i="17"/>
  <c r="I414" i="17" s="1"/>
  <c r="E413" i="17"/>
  <c r="I413" i="17" s="1"/>
  <c r="E412" i="17"/>
  <c r="I412" i="17" s="1"/>
  <c r="E411" i="17"/>
  <c r="I411" i="17" s="1"/>
  <c r="E410" i="17"/>
  <c r="I410" i="17" s="1"/>
  <c r="E409" i="17"/>
  <c r="I409" i="17" s="1"/>
  <c r="E408" i="17"/>
  <c r="I408" i="17" s="1"/>
  <c r="E407" i="17"/>
  <c r="I407" i="17" s="1"/>
  <c r="E406" i="17"/>
  <c r="I406" i="17" s="1"/>
  <c r="E405" i="17"/>
  <c r="I405" i="17" s="1"/>
  <c r="E404" i="17"/>
  <c r="I404" i="17" s="1"/>
  <c r="E403" i="17"/>
  <c r="I403" i="17" s="1"/>
  <c r="E402" i="17"/>
  <c r="I402" i="17" s="1"/>
  <c r="E401" i="17"/>
  <c r="I401" i="17" s="1"/>
  <c r="E400" i="17"/>
  <c r="I400" i="17" s="1"/>
  <c r="E399" i="17"/>
  <c r="I399" i="17" s="1"/>
  <c r="E398" i="17"/>
  <c r="I398" i="17" s="1"/>
  <c r="E397" i="17"/>
  <c r="I397" i="17" s="1"/>
  <c r="E396" i="17"/>
  <c r="I396" i="17" s="1"/>
  <c r="E395" i="17"/>
  <c r="I395" i="17" s="1"/>
  <c r="E394" i="17"/>
  <c r="I394" i="17" s="1"/>
  <c r="E393" i="17"/>
  <c r="I393" i="17" s="1"/>
  <c r="E392" i="17"/>
  <c r="I392" i="17" s="1"/>
  <c r="E391" i="17"/>
  <c r="I391" i="17" s="1"/>
  <c r="E390" i="17"/>
  <c r="I390" i="17" s="1"/>
  <c r="E389" i="17"/>
  <c r="I389" i="17" s="1"/>
  <c r="E388" i="17"/>
  <c r="I388" i="17" s="1"/>
  <c r="E387" i="17"/>
  <c r="I387" i="17" s="1"/>
  <c r="E386" i="17"/>
  <c r="I386" i="17" s="1"/>
  <c r="E385" i="17"/>
  <c r="I385" i="17" s="1"/>
  <c r="E384" i="17"/>
  <c r="I384" i="17" s="1"/>
  <c r="E383" i="17"/>
  <c r="I383" i="17" s="1"/>
  <c r="E382" i="17"/>
  <c r="I382" i="17" s="1"/>
  <c r="E381" i="17"/>
  <c r="I381" i="17" s="1"/>
  <c r="E380" i="17"/>
  <c r="I380" i="17" s="1"/>
  <c r="E379" i="17"/>
  <c r="I379" i="17" s="1"/>
  <c r="E378" i="17"/>
  <c r="I378" i="17" s="1"/>
  <c r="E377" i="17"/>
  <c r="I377" i="17" s="1"/>
  <c r="E376" i="17"/>
  <c r="I376" i="17" s="1"/>
  <c r="E375" i="17"/>
  <c r="I375" i="17" s="1"/>
  <c r="E374" i="17"/>
  <c r="I374" i="17" s="1"/>
  <c r="E373" i="17"/>
  <c r="I373" i="17" s="1"/>
  <c r="E372" i="17"/>
  <c r="I372" i="17" s="1"/>
  <c r="E371" i="17"/>
  <c r="I371" i="17" s="1"/>
  <c r="E370" i="17"/>
  <c r="I370" i="17" s="1"/>
  <c r="E369" i="17"/>
  <c r="I369" i="17" s="1"/>
  <c r="E368" i="17"/>
  <c r="I368" i="17" s="1"/>
  <c r="E367" i="17"/>
  <c r="I367" i="17" s="1"/>
  <c r="E366" i="17"/>
  <c r="I366" i="17" s="1"/>
  <c r="E365" i="17"/>
  <c r="I365" i="17" s="1"/>
  <c r="E364" i="17"/>
  <c r="I364" i="17" s="1"/>
  <c r="E363" i="17"/>
  <c r="I363" i="17" s="1"/>
  <c r="E362" i="17"/>
  <c r="I362" i="17" s="1"/>
  <c r="E361" i="17"/>
  <c r="I361" i="17" s="1"/>
  <c r="E360" i="17"/>
  <c r="I360" i="17" s="1"/>
  <c r="E359" i="17"/>
  <c r="I359" i="17" s="1"/>
  <c r="E358" i="17"/>
  <c r="I358" i="17" s="1"/>
  <c r="E357" i="17"/>
  <c r="I357" i="17" s="1"/>
  <c r="E356" i="17"/>
  <c r="I356" i="17" s="1"/>
  <c r="E355" i="17"/>
  <c r="I355" i="17" s="1"/>
  <c r="E354" i="17"/>
  <c r="I354" i="17" s="1"/>
  <c r="E353" i="17"/>
  <c r="I353" i="17" s="1"/>
  <c r="E352" i="17"/>
  <c r="I352" i="17" s="1"/>
  <c r="E351" i="17"/>
  <c r="I351" i="17" s="1"/>
  <c r="E350" i="17"/>
  <c r="I350" i="17" s="1"/>
  <c r="E349" i="17"/>
  <c r="I349" i="17" s="1"/>
  <c r="E348" i="17"/>
  <c r="I348" i="17" s="1"/>
  <c r="E347" i="17"/>
  <c r="I347" i="17" s="1"/>
  <c r="E346" i="17"/>
  <c r="I346" i="17" s="1"/>
  <c r="E345" i="17"/>
  <c r="I345" i="17" s="1"/>
  <c r="E344" i="17"/>
  <c r="I344" i="17" s="1"/>
  <c r="E343" i="17"/>
  <c r="I343" i="17" s="1"/>
  <c r="E342" i="17"/>
  <c r="I342" i="17" s="1"/>
  <c r="E341" i="17"/>
  <c r="I341" i="17" s="1"/>
  <c r="E340" i="17"/>
  <c r="I340" i="17" s="1"/>
  <c r="E339" i="17"/>
  <c r="I339" i="17" s="1"/>
  <c r="E338" i="17"/>
  <c r="I338" i="17" s="1"/>
  <c r="E337" i="17"/>
  <c r="I337" i="17" s="1"/>
  <c r="E336" i="17"/>
  <c r="I336" i="17" s="1"/>
  <c r="E335" i="17"/>
  <c r="I335" i="17" s="1"/>
  <c r="E334" i="17"/>
  <c r="I334" i="17" s="1"/>
  <c r="E333" i="17"/>
  <c r="I333" i="17" s="1"/>
  <c r="E332" i="17"/>
  <c r="I332" i="17" s="1"/>
  <c r="E331" i="17"/>
  <c r="I331" i="17" s="1"/>
  <c r="E330" i="17"/>
  <c r="I330" i="17" s="1"/>
  <c r="E329" i="17"/>
  <c r="I329" i="17" s="1"/>
  <c r="E328" i="17"/>
  <c r="I328" i="17" s="1"/>
  <c r="E327" i="17"/>
  <c r="I327" i="17" s="1"/>
  <c r="E326" i="17"/>
  <c r="I326" i="17" s="1"/>
  <c r="E325" i="17"/>
  <c r="I325" i="17" s="1"/>
  <c r="E324" i="17"/>
  <c r="I324" i="17" s="1"/>
  <c r="E323" i="17"/>
  <c r="I323" i="17" s="1"/>
  <c r="E322" i="17"/>
  <c r="I322" i="17" s="1"/>
  <c r="E321" i="17"/>
  <c r="I321" i="17" s="1"/>
  <c r="E320" i="17"/>
  <c r="I320" i="17" s="1"/>
  <c r="E319" i="17"/>
  <c r="I319" i="17" s="1"/>
  <c r="E318" i="17"/>
  <c r="I318" i="17" s="1"/>
  <c r="E317" i="17"/>
  <c r="I317" i="17" s="1"/>
  <c r="E316" i="17"/>
  <c r="I316" i="17" s="1"/>
  <c r="E315" i="17"/>
  <c r="I315" i="17" s="1"/>
  <c r="E314" i="17"/>
  <c r="I314" i="17" s="1"/>
  <c r="E313" i="17"/>
  <c r="I313" i="17" s="1"/>
  <c r="E312" i="17"/>
  <c r="I312" i="17" s="1"/>
  <c r="E311" i="17"/>
  <c r="I311" i="17" s="1"/>
  <c r="E310" i="17"/>
  <c r="I310" i="17" s="1"/>
  <c r="E309" i="17"/>
  <c r="I309" i="17" s="1"/>
  <c r="E308" i="17"/>
  <c r="I308" i="17" s="1"/>
  <c r="E307" i="17"/>
  <c r="I307" i="17" s="1"/>
  <c r="E306" i="17"/>
  <c r="I306" i="17" s="1"/>
  <c r="E305" i="17"/>
  <c r="I305" i="17" s="1"/>
  <c r="E304" i="17"/>
  <c r="I304" i="17" s="1"/>
  <c r="E303" i="17"/>
  <c r="I303" i="17" s="1"/>
  <c r="E302" i="17"/>
  <c r="I302" i="17" s="1"/>
  <c r="E301" i="17"/>
  <c r="I301" i="17" s="1"/>
  <c r="E300" i="17"/>
  <c r="I300" i="17" s="1"/>
  <c r="E299" i="17"/>
  <c r="I299" i="17" s="1"/>
  <c r="E298" i="17"/>
  <c r="I298" i="17" s="1"/>
  <c r="E297" i="17"/>
  <c r="I297" i="17" s="1"/>
  <c r="E296" i="17"/>
  <c r="I296" i="17" s="1"/>
  <c r="E295" i="17"/>
  <c r="I295" i="17" s="1"/>
  <c r="E294" i="17"/>
  <c r="I294" i="17" s="1"/>
  <c r="E293" i="17"/>
  <c r="I293" i="17" s="1"/>
  <c r="E292" i="17"/>
  <c r="I292" i="17" s="1"/>
  <c r="E291" i="17"/>
  <c r="I291" i="17" s="1"/>
  <c r="E290" i="17"/>
  <c r="I290" i="17" s="1"/>
  <c r="E289" i="17"/>
  <c r="I289" i="17" s="1"/>
  <c r="E288" i="17"/>
  <c r="I288" i="17" s="1"/>
  <c r="E287" i="17"/>
  <c r="I287" i="17" s="1"/>
  <c r="E286" i="17"/>
  <c r="I286" i="17" s="1"/>
  <c r="E285" i="17"/>
  <c r="I285" i="17" s="1"/>
  <c r="E284" i="17"/>
  <c r="I284" i="17" s="1"/>
  <c r="E283" i="17"/>
  <c r="I283" i="17" s="1"/>
  <c r="E282" i="17"/>
  <c r="I282" i="17" s="1"/>
  <c r="E281" i="17"/>
  <c r="I281" i="17" s="1"/>
  <c r="E279" i="17"/>
  <c r="I279" i="17" s="1"/>
  <c r="E278" i="17"/>
  <c r="I278" i="17" s="1"/>
  <c r="E277" i="17"/>
  <c r="I277" i="17" s="1"/>
  <c r="E276" i="17"/>
  <c r="I276" i="17" s="1"/>
  <c r="E275" i="17"/>
  <c r="I275" i="17" s="1"/>
  <c r="E274" i="17"/>
  <c r="I274" i="17" s="1"/>
  <c r="E272" i="17"/>
  <c r="I272" i="17" s="1"/>
  <c r="E271" i="17"/>
  <c r="I271" i="17" s="1"/>
  <c r="E270" i="17"/>
  <c r="I270" i="17" s="1"/>
  <c r="E269" i="17"/>
  <c r="I269" i="17" s="1"/>
  <c r="E268" i="17"/>
  <c r="I268" i="17" s="1"/>
  <c r="E267" i="17"/>
  <c r="I267" i="17" s="1"/>
  <c r="E266" i="17"/>
  <c r="I266" i="17" s="1"/>
  <c r="E265" i="17"/>
  <c r="I265" i="17" s="1"/>
  <c r="E264" i="17"/>
  <c r="I264" i="17" s="1"/>
  <c r="E263" i="17"/>
  <c r="I263" i="17" s="1"/>
  <c r="E262" i="17"/>
  <c r="I262" i="17" s="1"/>
  <c r="E261" i="17"/>
  <c r="I261" i="17" s="1"/>
  <c r="E260" i="17"/>
  <c r="I260" i="17" s="1"/>
  <c r="E259" i="17"/>
  <c r="I259" i="17" s="1"/>
  <c r="E258" i="17"/>
  <c r="I258" i="17" s="1"/>
  <c r="E257" i="17"/>
  <c r="I257" i="17" s="1"/>
  <c r="E256" i="17"/>
  <c r="I256" i="17" s="1"/>
  <c r="E255" i="17"/>
  <c r="I255" i="17" s="1"/>
  <c r="E254" i="17"/>
  <c r="I254" i="17" s="1"/>
  <c r="E253" i="17"/>
  <c r="I253" i="17" s="1"/>
  <c r="E252" i="17"/>
  <c r="I252" i="17" s="1"/>
  <c r="E251" i="17"/>
  <c r="I251" i="17" s="1"/>
  <c r="E250" i="17"/>
  <c r="I250" i="17" s="1"/>
  <c r="E249" i="17"/>
  <c r="I249" i="17" s="1"/>
  <c r="E248" i="17"/>
  <c r="I248" i="17" s="1"/>
  <c r="E247" i="17"/>
  <c r="I247" i="17" s="1"/>
  <c r="E246" i="17"/>
  <c r="I246" i="17" s="1"/>
  <c r="E245" i="17"/>
  <c r="I245" i="17" s="1"/>
  <c r="E244" i="17"/>
  <c r="I244" i="17" s="1"/>
  <c r="E243" i="17"/>
  <c r="I243" i="17" s="1"/>
  <c r="E242" i="17"/>
  <c r="I242" i="17" s="1"/>
  <c r="E241" i="17"/>
  <c r="I241" i="17" s="1"/>
  <c r="E240" i="17"/>
  <c r="I240" i="17" s="1"/>
  <c r="E239" i="17"/>
  <c r="I239" i="17" s="1"/>
  <c r="E238" i="17"/>
  <c r="I238" i="17" s="1"/>
  <c r="E237" i="17"/>
  <c r="I237" i="17" s="1"/>
  <c r="E236" i="17"/>
  <c r="I236" i="17" s="1"/>
  <c r="E235" i="17"/>
  <c r="I235" i="17" s="1"/>
  <c r="E234" i="17"/>
  <c r="I234" i="17" s="1"/>
  <c r="E233" i="17"/>
  <c r="I233" i="17" s="1"/>
  <c r="E232" i="17"/>
  <c r="I232" i="17" s="1"/>
  <c r="E231" i="17"/>
  <c r="I231" i="17" s="1"/>
  <c r="E230" i="17"/>
  <c r="I230" i="17" s="1"/>
  <c r="E229" i="17"/>
  <c r="I229" i="17" s="1"/>
  <c r="E228" i="17"/>
  <c r="I228" i="17" s="1"/>
  <c r="E227" i="17"/>
  <c r="I227" i="17" s="1"/>
  <c r="E226" i="17"/>
  <c r="I226" i="17" s="1"/>
  <c r="E225" i="17"/>
  <c r="I225" i="17" s="1"/>
  <c r="E224" i="17"/>
  <c r="I224" i="17" s="1"/>
  <c r="E223" i="17"/>
  <c r="I223" i="17" s="1"/>
  <c r="E222" i="17"/>
  <c r="I222" i="17" s="1"/>
  <c r="E221" i="17"/>
  <c r="I221" i="17" s="1"/>
  <c r="E220" i="17"/>
  <c r="I220" i="17" s="1"/>
  <c r="E219" i="17"/>
  <c r="I219" i="17" s="1"/>
  <c r="E218" i="17"/>
  <c r="I218" i="17" s="1"/>
  <c r="E217" i="17"/>
  <c r="I217" i="17" s="1"/>
  <c r="E216" i="17"/>
  <c r="I216" i="17" s="1"/>
  <c r="E215" i="17"/>
  <c r="I215" i="17" s="1"/>
  <c r="E214" i="17"/>
  <c r="I214" i="17" s="1"/>
  <c r="E213" i="17"/>
  <c r="I213" i="17" s="1"/>
  <c r="E212" i="17"/>
  <c r="I212" i="17" s="1"/>
  <c r="E211" i="17"/>
  <c r="I211" i="17" s="1"/>
  <c r="E210" i="17"/>
  <c r="I210" i="17" s="1"/>
  <c r="E209" i="17"/>
  <c r="I209" i="17" s="1"/>
  <c r="E208" i="17"/>
  <c r="I208" i="17" s="1"/>
  <c r="E207" i="17"/>
  <c r="I207" i="17" s="1"/>
  <c r="E206" i="17"/>
  <c r="I206" i="17" s="1"/>
  <c r="E205" i="17"/>
  <c r="I205" i="17" s="1"/>
  <c r="E204" i="17"/>
  <c r="I204" i="17" s="1"/>
  <c r="E203" i="17"/>
  <c r="I203" i="17" s="1"/>
  <c r="E202" i="17"/>
  <c r="I202" i="17" s="1"/>
  <c r="E201" i="17"/>
  <c r="I201" i="17" s="1"/>
  <c r="E200" i="17"/>
  <c r="I200" i="17" s="1"/>
  <c r="E199" i="17"/>
  <c r="I199" i="17" s="1"/>
  <c r="E198" i="17"/>
  <c r="I198" i="17" s="1"/>
  <c r="E197" i="17"/>
  <c r="I197" i="17" s="1"/>
  <c r="E196" i="17"/>
  <c r="I196" i="17" s="1"/>
  <c r="E195" i="17"/>
  <c r="I195" i="17" s="1"/>
  <c r="E194" i="17"/>
  <c r="I194" i="17" s="1"/>
  <c r="E193" i="17"/>
  <c r="I193" i="17" s="1"/>
  <c r="E192" i="17"/>
  <c r="I192" i="17" s="1"/>
  <c r="E191" i="17"/>
  <c r="I191" i="17" s="1"/>
  <c r="E190" i="17"/>
  <c r="I190" i="17" s="1"/>
  <c r="E189" i="17"/>
  <c r="I189" i="17" s="1"/>
  <c r="E188" i="17"/>
  <c r="I188" i="17" s="1"/>
  <c r="E187" i="17"/>
  <c r="I187" i="17" s="1"/>
  <c r="E186" i="17"/>
  <c r="I186" i="17" s="1"/>
  <c r="E185" i="17"/>
  <c r="I185" i="17" s="1"/>
  <c r="E184" i="17"/>
  <c r="I184" i="17" s="1"/>
  <c r="E183" i="17"/>
  <c r="I183" i="17" s="1"/>
  <c r="E182" i="17"/>
  <c r="I182" i="17" s="1"/>
  <c r="E181" i="17"/>
  <c r="I181" i="17" s="1"/>
  <c r="E180" i="17"/>
  <c r="I180" i="17" s="1"/>
  <c r="E179" i="17"/>
  <c r="I179" i="17" s="1"/>
  <c r="E178" i="17"/>
  <c r="I178" i="17" s="1"/>
  <c r="E177" i="17"/>
  <c r="I177" i="17" s="1"/>
  <c r="E176" i="17"/>
  <c r="I176" i="17" s="1"/>
  <c r="E175" i="17"/>
  <c r="I175" i="17" s="1"/>
  <c r="E174" i="17"/>
  <c r="I174" i="17" s="1"/>
  <c r="E173" i="17"/>
  <c r="I173" i="17" s="1"/>
  <c r="E172" i="17"/>
  <c r="I172" i="17" s="1"/>
  <c r="E171" i="17"/>
  <c r="I171" i="17" s="1"/>
  <c r="E170" i="17"/>
  <c r="I170" i="17" s="1"/>
  <c r="E169" i="17"/>
  <c r="I169" i="17" s="1"/>
  <c r="E168" i="17"/>
  <c r="I168" i="17" s="1"/>
  <c r="E167" i="17"/>
  <c r="I167" i="17" s="1"/>
  <c r="E166" i="17"/>
  <c r="I166" i="17" s="1"/>
  <c r="E165" i="17"/>
  <c r="I165" i="17" s="1"/>
  <c r="E164" i="17"/>
  <c r="I164" i="17" s="1"/>
  <c r="E163" i="17"/>
  <c r="I163" i="17" s="1"/>
  <c r="E162" i="17"/>
  <c r="I162" i="17" s="1"/>
  <c r="E161" i="17"/>
  <c r="I161" i="17" s="1"/>
  <c r="E160" i="17"/>
  <c r="I160" i="17" s="1"/>
  <c r="E159" i="17"/>
  <c r="I159" i="17" s="1"/>
  <c r="E158" i="17"/>
  <c r="I158" i="17" s="1"/>
  <c r="E157" i="17"/>
  <c r="I157" i="17" s="1"/>
  <c r="E156" i="17"/>
  <c r="I156" i="17" s="1"/>
  <c r="E155" i="17"/>
  <c r="I155" i="17" s="1"/>
  <c r="E154" i="17"/>
  <c r="I154" i="17" s="1"/>
  <c r="E153" i="17"/>
  <c r="I153" i="17" s="1"/>
  <c r="E152" i="17"/>
  <c r="I152" i="17" s="1"/>
  <c r="E151" i="17"/>
  <c r="I151" i="17" s="1"/>
  <c r="E150" i="17"/>
  <c r="I150" i="17" s="1"/>
  <c r="E149" i="17"/>
  <c r="I149" i="17" s="1"/>
  <c r="E148" i="17"/>
  <c r="I148" i="17" s="1"/>
  <c r="E147" i="17"/>
  <c r="I147" i="17" s="1"/>
  <c r="E146" i="17"/>
  <c r="I146" i="17" s="1"/>
  <c r="E145" i="17"/>
  <c r="I145" i="17" s="1"/>
  <c r="E144" i="17"/>
  <c r="I144" i="17" s="1"/>
  <c r="E143" i="17"/>
  <c r="I143" i="17" s="1"/>
  <c r="E142" i="17"/>
  <c r="I142" i="17" s="1"/>
  <c r="E141" i="17"/>
  <c r="I141" i="17" s="1"/>
  <c r="E140" i="17"/>
  <c r="I140" i="17" s="1"/>
  <c r="E139" i="17"/>
  <c r="I139" i="17" s="1"/>
  <c r="E138" i="17"/>
  <c r="I138" i="17" s="1"/>
  <c r="E137" i="17"/>
  <c r="I137" i="17" s="1"/>
  <c r="E136" i="17"/>
  <c r="I136" i="17" s="1"/>
  <c r="E135" i="17"/>
  <c r="I135" i="17" s="1"/>
  <c r="E134" i="17"/>
  <c r="I134" i="17" s="1"/>
  <c r="E133" i="17"/>
  <c r="I133" i="17" s="1"/>
  <c r="E132" i="17"/>
  <c r="I132" i="17" s="1"/>
  <c r="E131" i="17"/>
  <c r="I131" i="17" s="1"/>
  <c r="E130" i="17"/>
  <c r="I130" i="17" s="1"/>
  <c r="E129" i="17"/>
  <c r="I129" i="17" s="1"/>
  <c r="E128" i="17"/>
  <c r="I128" i="17" s="1"/>
  <c r="E127" i="17"/>
  <c r="I127" i="17" s="1"/>
  <c r="E126" i="17"/>
  <c r="I126" i="17" s="1"/>
  <c r="E125" i="17"/>
  <c r="I125" i="17" s="1"/>
  <c r="E124" i="17"/>
  <c r="I124" i="17" s="1"/>
  <c r="E123" i="17"/>
  <c r="I123" i="17" s="1"/>
  <c r="E122" i="17"/>
  <c r="I122" i="17" s="1"/>
  <c r="E121" i="17"/>
  <c r="I121" i="17" s="1"/>
  <c r="E120" i="17"/>
  <c r="I120" i="17" s="1"/>
  <c r="E119" i="17"/>
  <c r="I119" i="17" s="1"/>
  <c r="E118" i="17"/>
  <c r="I118" i="17" s="1"/>
  <c r="E117" i="17"/>
  <c r="I117" i="17" s="1"/>
  <c r="E116" i="17"/>
  <c r="I116" i="17" s="1"/>
  <c r="E115" i="17"/>
  <c r="I115" i="17" s="1"/>
  <c r="E114" i="17"/>
  <c r="I114" i="17" s="1"/>
  <c r="E113" i="17"/>
  <c r="I113" i="17" s="1"/>
  <c r="E112" i="17"/>
  <c r="I112" i="17" s="1"/>
  <c r="E111" i="17"/>
  <c r="I111" i="17" s="1"/>
  <c r="E110" i="17"/>
  <c r="I110" i="17" s="1"/>
  <c r="E109" i="17"/>
  <c r="I109" i="17" s="1"/>
  <c r="E108" i="17"/>
  <c r="I108" i="17" s="1"/>
  <c r="E107" i="17"/>
  <c r="I107" i="17" s="1"/>
  <c r="E106" i="17"/>
  <c r="I106" i="17" s="1"/>
  <c r="E105" i="17"/>
  <c r="I105" i="17" s="1"/>
  <c r="E104" i="17"/>
  <c r="I104" i="17" s="1"/>
  <c r="E103" i="17"/>
  <c r="I103" i="17" s="1"/>
  <c r="E102" i="17"/>
  <c r="I102" i="17" s="1"/>
  <c r="E101" i="17"/>
  <c r="I101" i="17" s="1"/>
  <c r="E100" i="17"/>
  <c r="I100" i="17" s="1"/>
  <c r="E99" i="17"/>
  <c r="I99" i="17" s="1"/>
  <c r="E98" i="17"/>
  <c r="I98" i="17" s="1"/>
  <c r="E97" i="17"/>
  <c r="I97" i="17" s="1"/>
  <c r="E96" i="17"/>
  <c r="I96" i="17" s="1"/>
  <c r="E95" i="17"/>
  <c r="I95" i="17" s="1"/>
  <c r="E94" i="17"/>
  <c r="I94" i="17" s="1"/>
  <c r="E93" i="17"/>
  <c r="I93" i="17" s="1"/>
  <c r="E92" i="17"/>
  <c r="I92" i="17" s="1"/>
  <c r="E91" i="17"/>
  <c r="I91" i="17" s="1"/>
  <c r="E90" i="17"/>
  <c r="I90" i="17" s="1"/>
  <c r="E89" i="17"/>
  <c r="I89" i="17" s="1"/>
  <c r="E88" i="17"/>
  <c r="I88" i="17" s="1"/>
  <c r="E87" i="17"/>
  <c r="I87" i="17" s="1"/>
  <c r="E86" i="17"/>
  <c r="I86" i="17" s="1"/>
  <c r="E85" i="17"/>
  <c r="I85" i="17" s="1"/>
  <c r="E84" i="17"/>
  <c r="I84" i="17" s="1"/>
  <c r="E83" i="17"/>
  <c r="I83" i="17" s="1"/>
  <c r="E82" i="17"/>
  <c r="I82" i="17" s="1"/>
  <c r="E81" i="17"/>
  <c r="I81" i="17" s="1"/>
  <c r="E80" i="17"/>
  <c r="I80" i="17" s="1"/>
  <c r="E79" i="17"/>
  <c r="I79" i="17" s="1"/>
  <c r="E78" i="17"/>
  <c r="I78" i="17" s="1"/>
  <c r="E77" i="17"/>
  <c r="I77" i="17" s="1"/>
  <c r="E76" i="17"/>
  <c r="I76" i="17" s="1"/>
  <c r="E75" i="17"/>
  <c r="I75" i="17" s="1"/>
  <c r="E74" i="17"/>
  <c r="I74" i="17" s="1"/>
  <c r="E582" i="17"/>
  <c r="I582" i="17" s="1"/>
  <c r="E581" i="17"/>
  <c r="I581" i="17" s="1"/>
  <c r="E580" i="17"/>
  <c r="I580" i="17" s="1"/>
  <c r="E579" i="17"/>
  <c r="I579" i="17" s="1"/>
  <c r="E578" i="17"/>
  <c r="I578" i="17" s="1"/>
  <c r="E577" i="17"/>
  <c r="I577" i="17" s="1"/>
  <c r="E576" i="17"/>
  <c r="I576" i="17" s="1"/>
  <c r="E73" i="17"/>
  <c r="I73" i="17" s="1"/>
  <c r="E72" i="17"/>
  <c r="I72" i="17" s="1"/>
  <c r="E71" i="17"/>
  <c r="I71" i="17" s="1"/>
  <c r="E69" i="17"/>
  <c r="I69" i="17" s="1"/>
  <c r="E68" i="17"/>
  <c r="I68" i="17" s="1"/>
  <c r="E67" i="17"/>
  <c r="I67" i="17" s="1"/>
  <c r="E66" i="17"/>
  <c r="I66" i="17" s="1"/>
  <c r="E65" i="17"/>
  <c r="I65" i="17" s="1"/>
  <c r="E64" i="17"/>
  <c r="I64" i="17" s="1"/>
  <c r="E63" i="17"/>
  <c r="I63" i="17" s="1"/>
  <c r="E62" i="17"/>
  <c r="I62" i="17" s="1"/>
  <c r="E61" i="17"/>
  <c r="I61" i="17" s="1"/>
  <c r="E60" i="17"/>
  <c r="I60" i="17" s="1"/>
  <c r="E59" i="17"/>
  <c r="I59" i="17" s="1"/>
  <c r="E58" i="17"/>
  <c r="I58" i="17" s="1"/>
  <c r="E57" i="17"/>
  <c r="I57" i="17" s="1"/>
  <c r="E56" i="17"/>
  <c r="I56" i="17" s="1"/>
  <c r="E55" i="17"/>
  <c r="I55" i="17" s="1"/>
  <c r="E54" i="17"/>
  <c r="I54" i="17" s="1"/>
  <c r="E53" i="17"/>
  <c r="I53" i="17" s="1"/>
  <c r="E52" i="17"/>
  <c r="I52" i="17" s="1"/>
  <c r="E51" i="17"/>
  <c r="I51" i="17" s="1"/>
  <c r="E50" i="17"/>
  <c r="I50" i="17" s="1"/>
  <c r="E49" i="17"/>
  <c r="I49" i="17" s="1"/>
  <c r="E48" i="17"/>
  <c r="I48" i="17" s="1"/>
  <c r="E47" i="17"/>
  <c r="I47" i="17" s="1"/>
  <c r="E46" i="17"/>
  <c r="I46" i="17" s="1"/>
  <c r="E45" i="17"/>
  <c r="I45" i="17" s="1"/>
  <c r="E44" i="17"/>
  <c r="I44" i="17" s="1"/>
  <c r="E43" i="17"/>
  <c r="I43" i="17" s="1"/>
  <c r="E42" i="17"/>
  <c r="I42" i="17" s="1"/>
  <c r="E41" i="17"/>
  <c r="I41" i="17" s="1"/>
  <c r="E40" i="17"/>
  <c r="I40" i="17" s="1"/>
  <c r="E39" i="17"/>
  <c r="I39" i="17" s="1"/>
  <c r="E38" i="17"/>
  <c r="I38" i="17" s="1"/>
  <c r="E37" i="17"/>
  <c r="I37" i="17" s="1"/>
  <c r="E36" i="17"/>
  <c r="I36" i="17" s="1"/>
  <c r="E35" i="17"/>
  <c r="I35" i="17" s="1"/>
  <c r="E34" i="17"/>
  <c r="I34" i="17" s="1"/>
  <c r="E33" i="17"/>
  <c r="I33" i="17" s="1"/>
  <c r="E32" i="17"/>
  <c r="I32" i="17" s="1"/>
  <c r="E31" i="17"/>
  <c r="I31" i="17" s="1"/>
  <c r="E30" i="17"/>
  <c r="I30" i="17" s="1"/>
  <c r="E29" i="17"/>
  <c r="I29" i="17" s="1"/>
  <c r="E28" i="17"/>
  <c r="I28" i="17" s="1"/>
  <c r="E27" i="17"/>
  <c r="I27" i="17" s="1"/>
  <c r="E26" i="17"/>
  <c r="I26" i="17" s="1"/>
  <c r="E25" i="17"/>
  <c r="I25" i="17" s="1"/>
  <c r="E24" i="17"/>
  <c r="I24" i="17" s="1"/>
  <c r="E23" i="17"/>
  <c r="I23" i="17" s="1"/>
  <c r="E22" i="17"/>
  <c r="I22" i="17" s="1"/>
  <c r="E21" i="17"/>
  <c r="I21" i="17" s="1"/>
  <c r="E20" i="17"/>
  <c r="I20" i="17" s="1"/>
  <c r="E19" i="17"/>
  <c r="I19" i="17" s="1"/>
  <c r="E18" i="17"/>
  <c r="I18" i="17" s="1"/>
  <c r="E17" i="17"/>
  <c r="I17" i="17" s="1"/>
  <c r="E16" i="17"/>
  <c r="I16" i="17" s="1"/>
  <c r="F15" i="17"/>
  <c r="E15" i="17" s="1"/>
  <c r="I15" i="17" s="1"/>
  <c r="E70" i="17" l="1"/>
  <c r="I70" i="17" s="1"/>
  <c r="E273" i="17"/>
  <c r="I273" i="17" s="1"/>
  <c r="I280" i="17" l="1"/>
  <c r="E280" i="17"/>
  <c r="F280" i="17"/>
</calcChain>
</file>

<file path=xl/sharedStrings.xml><?xml version="1.0" encoding="utf-8"?>
<sst xmlns="http://schemas.openxmlformats.org/spreadsheetml/2006/main" count="3460" uniqueCount="820">
  <si>
    <t>Row Labels</t>
  </si>
  <si>
    <t>Sum of AMOUNT</t>
  </si>
  <si>
    <t>DUMPER</t>
  </si>
  <si>
    <t>EXCAVATOR</t>
  </si>
  <si>
    <t>ROCK BREAKER</t>
  </si>
  <si>
    <t>SANY 300T</t>
  </si>
  <si>
    <t>CHERRY PICKER</t>
  </si>
  <si>
    <t>SPECIAL TOOLS</t>
  </si>
  <si>
    <t>WATER TANKER</t>
  </si>
  <si>
    <t>LOADER</t>
  </si>
  <si>
    <t>MISCLLANEOUS</t>
  </si>
  <si>
    <t>GRADER</t>
  </si>
  <si>
    <t>WELDING ACCESSORIES</t>
  </si>
  <si>
    <t>HYDRA</t>
  </si>
  <si>
    <t>TOOLS AND TACKLES</t>
  </si>
  <si>
    <t>BELT</t>
  </si>
  <si>
    <t>ELECTRODE</t>
  </si>
  <si>
    <t>LIGHTING DG</t>
  </si>
  <si>
    <t>SCISSER LIFT</t>
  </si>
  <si>
    <t>BATTERY</t>
  </si>
  <si>
    <t>COMPACTOR</t>
  </si>
  <si>
    <t>AUTO ELECTRICAL</t>
  </si>
  <si>
    <t>Grand Total</t>
  </si>
  <si>
    <t xml:space="preserve"> </t>
  </si>
  <si>
    <t>Last Updated -</t>
  </si>
  <si>
    <t>SL NO.</t>
  </si>
  <si>
    <t>MATERIAL CODE</t>
  </si>
  <si>
    <t>PART NUMBER</t>
  </si>
  <si>
    <t>DESCRIPTION</t>
  </si>
  <si>
    <t>ACTUAL STOCK</t>
  </si>
  <si>
    <t>QUANTITY</t>
  </si>
  <si>
    <t>UOM</t>
  </si>
  <si>
    <t>UNIT PRICE</t>
  </si>
  <si>
    <t>AMOUNT</t>
  </si>
  <si>
    <t>CATEGORY</t>
  </si>
  <si>
    <t>LOCATION</t>
  </si>
  <si>
    <t>CONSUMPTION</t>
  </si>
  <si>
    <t>CONSUMPTION DATE</t>
  </si>
  <si>
    <t>25101600AK88</t>
  </si>
  <si>
    <t>Air Fiter  (TATA1918T)</t>
  </si>
  <si>
    <t>NOS</t>
  </si>
  <si>
    <t>A2</t>
  </si>
  <si>
    <t>25101601AR89</t>
  </si>
  <si>
    <t>Air Fiter(safety) TATA1918T</t>
  </si>
  <si>
    <t>A3</t>
  </si>
  <si>
    <t>Blasting Net</t>
  </si>
  <si>
    <t>A1</t>
  </si>
  <si>
    <t>40161526AH93</t>
  </si>
  <si>
    <t>Oil Filter</t>
  </si>
  <si>
    <t>DIESEL TANKER</t>
  </si>
  <si>
    <t>Air Filter</t>
  </si>
  <si>
    <t>Alternator</t>
  </si>
  <si>
    <t>Acctuator</t>
  </si>
  <si>
    <t>22101526B530</t>
  </si>
  <si>
    <t>HLXS115PX</t>
  </si>
  <si>
    <t>Pin ASSY</t>
  </si>
  <si>
    <t>A6</t>
  </si>
  <si>
    <t>24.01.2026</t>
  </si>
  <si>
    <t>21N-939-3330</t>
  </si>
  <si>
    <t>Pin</t>
  </si>
  <si>
    <t>Grease Nipple 8mm</t>
  </si>
  <si>
    <t>A4</t>
  </si>
  <si>
    <t>Grease Nipple 10mm</t>
  </si>
  <si>
    <t>Grease Nipple 19mm</t>
  </si>
  <si>
    <t>40141736LS63</t>
  </si>
  <si>
    <t>Grease Nipple 6mm</t>
  </si>
  <si>
    <t>NUT</t>
  </si>
  <si>
    <t>TR ROOM</t>
  </si>
  <si>
    <t>BOLT</t>
  </si>
  <si>
    <t xml:space="preserve">CLAP </t>
  </si>
  <si>
    <t>WIRE ROPE</t>
  </si>
  <si>
    <t>D6</t>
  </si>
  <si>
    <t xml:space="preserve">REGULATOR </t>
  </si>
  <si>
    <t>G4</t>
  </si>
  <si>
    <t>LOCK TIGHT</t>
  </si>
  <si>
    <t>G3</t>
  </si>
  <si>
    <t>RC-H 64616B</t>
  </si>
  <si>
    <t>M SEAL</t>
  </si>
  <si>
    <t>06.10.25</t>
  </si>
  <si>
    <t>THREAD LOCK</t>
  </si>
  <si>
    <t>FEVI QUICK</t>
  </si>
  <si>
    <t>FEVI TIGHT</t>
  </si>
  <si>
    <t>SELICON</t>
  </si>
  <si>
    <t>TOILET CLEANER, HARPIC</t>
  </si>
  <si>
    <t>ELECTRONIC CLEANWE</t>
  </si>
  <si>
    <t>RUSTOLINE</t>
  </si>
  <si>
    <t>G2</t>
  </si>
  <si>
    <t>ECOFLOW DOT-3 OIL</t>
  </si>
  <si>
    <t xml:space="preserve">STEERING OIL </t>
  </si>
  <si>
    <t>DOT -4 TATA</t>
  </si>
  <si>
    <t>COLLIN CLEANER</t>
  </si>
  <si>
    <t>AX 1013359</t>
  </si>
  <si>
    <t>REDIWASH</t>
  </si>
  <si>
    <t>G1</t>
  </si>
  <si>
    <t>COMPRESSOR OIL ELGI</t>
  </si>
  <si>
    <t>BARRICATING TAPE</t>
  </si>
  <si>
    <t>F1</t>
  </si>
  <si>
    <t>EYE WASHER</t>
  </si>
  <si>
    <t>RVUNO490R</t>
  </si>
  <si>
    <t>MIRROR</t>
  </si>
  <si>
    <t>F2</t>
  </si>
  <si>
    <t>L&amp;T</t>
  </si>
  <si>
    <t>RV-UN0500L</t>
  </si>
  <si>
    <t>BOBCAT</t>
  </si>
  <si>
    <t xml:space="preserve">FUEL PUMP NOZZEL </t>
  </si>
  <si>
    <t>F4</t>
  </si>
  <si>
    <t>BOLT ANCHOR</t>
  </si>
  <si>
    <t>F3</t>
  </si>
  <si>
    <t>satish</t>
  </si>
  <si>
    <t>THREAD ROD</t>
  </si>
  <si>
    <t xml:space="preserve">FOOT VALVE FLAP </t>
  </si>
  <si>
    <t>H5</t>
  </si>
  <si>
    <t>GLAND ROPE</t>
  </si>
  <si>
    <t>CLOTH ROOL</t>
  </si>
  <si>
    <t>TAGGING ROPE</t>
  </si>
  <si>
    <t>PACKET</t>
  </si>
  <si>
    <t>CAMERA</t>
  </si>
  <si>
    <t>BELT 10T/6M</t>
  </si>
  <si>
    <t>E1</t>
  </si>
  <si>
    <t>BELT 3T/ 3M</t>
  </si>
  <si>
    <t>E2</t>
  </si>
  <si>
    <t>BELT 20T/16M</t>
  </si>
  <si>
    <t>E3</t>
  </si>
  <si>
    <t>BELT 1T/3M</t>
  </si>
  <si>
    <t>E4</t>
  </si>
  <si>
    <t>BELT 3T/6M</t>
  </si>
  <si>
    <t>E5</t>
  </si>
  <si>
    <t>MONO BLOCK PUMP</t>
  </si>
  <si>
    <t>WHEEL TROLLY</t>
  </si>
  <si>
    <t>BOX</t>
  </si>
  <si>
    <t>H4</t>
  </si>
  <si>
    <t>HIGHMAST LAMP</t>
  </si>
  <si>
    <t>H1</t>
  </si>
  <si>
    <t>VIKASH VERMA</t>
  </si>
  <si>
    <t>22101526AF47</t>
  </si>
  <si>
    <t>HLXS122RC</t>
  </si>
  <si>
    <t xml:space="preserve">TOOTH </t>
  </si>
  <si>
    <t>GROUND</t>
  </si>
  <si>
    <t>7122272B</t>
  </si>
  <si>
    <t>SIDE EDGE</t>
  </si>
  <si>
    <t>ADD BLUE</t>
  </si>
  <si>
    <t>HOSE</t>
  </si>
  <si>
    <t>B1</t>
  </si>
  <si>
    <t>22101500FA83</t>
  </si>
  <si>
    <t>GROW RING SET</t>
  </si>
  <si>
    <t>B2</t>
  </si>
  <si>
    <t>CPF0601412</t>
  </si>
  <si>
    <t>WASHER SEAL</t>
  </si>
  <si>
    <t>STUTZ RING</t>
  </si>
  <si>
    <t>CFW NUT RING</t>
  </si>
  <si>
    <t>ALEN KEY BOLT</t>
  </si>
  <si>
    <t>22101500FC19</t>
  </si>
  <si>
    <t>BUFFER RING</t>
  </si>
  <si>
    <t>22101500BO27</t>
  </si>
  <si>
    <t>COVER</t>
  </si>
  <si>
    <t>SWIVEL COVER</t>
  </si>
  <si>
    <t>CONTI LUBE</t>
  </si>
  <si>
    <t>25101600AF22</t>
  </si>
  <si>
    <t>GURD PLATE</t>
  </si>
  <si>
    <t>Rock Breaker</t>
  </si>
  <si>
    <t>22101500FC33</t>
  </si>
  <si>
    <t>BUSH</t>
  </si>
  <si>
    <t>B3</t>
  </si>
  <si>
    <t>22101500FC35</t>
  </si>
  <si>
    <t>20101711A219</t>
  </si>
  <si>
    <t>LOCKING BOLT</t>
  </si>
  <si>
    <t>PAIR LOCK RING</t>
  </si>
  <si>
    <t>25101503D235</t>
  </si>
  <si>
    <t>CYLINDRICAL BOLT</t>
  </si>
  <si>
    <t>SEAT OF SEALING</t>
  </si>
  <si>
    <t>FILLING VALVE</t>
  </si>
  <si>
    <t>PAD, ELASTIC</t>
  </si>
  <si>
    <t>22101500FA82</t>
  </si>
  <si>
    <t>SEAL KIT</t>
  </si>
  <si>
    <t>1 qty in loose-B2</t>
  </si>
  <si>
    <t>FITTING</t>
  </si>
  <si>
    <t>HOSE GREASE</t>
  </si>
  <si>
    <t>A222100000411</t>
  </si>
  <si>
    <t>AIR FILTER</t>
  </si>
  <si>
    <t>C1</t>
  </si>
  <si>
    <t>B222100000364</t>
  </si>
  <si>
    <t>AIR FILTER(PRE)</t>
  </si>
  <si>
    <t>COOLING OIL RETURN FILTER</t>
  </si>
  <si>
    <t>C2</t>
  </si>
  <si>
    <t>160101120023A007</t>
  </si>
  <si>
    <t>UREA PUMP FILTER</t>
  </si>
  <si>
    <t>B222100000257</t>
  </si>
  <si>
    <t>HIGH PRESSURE FILTER</t>
  </si>
  <si>
    <t xml:space="preserve">FUEL SYSTEM PROCTECTIN </t>
  </si>
  <si>
    <t xml:space="preserve">OIL FILTER </t>
  </si>
  <si>
    <t>1000428205A</t>
  </si>
  <si>
    <t>1000964807A</t>
  </si>
  <si>
    <t>FUEL FILTER</t>
  </si>
  <si>
    <t>1000422382A</t>
  </si>
  <si>
    <t>151501000024B005</t>
  </si>
  <si>
    <t xml:space="preserve">DIESEL FILTER CORE </t>
  </si>
  <si>
    <t>QZJ005649198</t>
  </si>
  <si>
    <t>BOOM TAIL SIDE</t>
  </si>
  <si>
    <t>C4</t>
  </si>
  <si>
    <t>BOOM TAIL LOWER</t>
  </si>
  <si>
    <t>QZJ0056499105</t>
  </si>
  <si>
    <t>REAR UNDER SLIDE BLOCK</t>
  </si>
  <si>
    <t>QZJ004695613</t>
  </si>
  <si>
    <t>SIDE BLOCK</t>
  </si>
  <si>
    <t>SLIDING BLOCK ASSY</t>
  </si>
  <si>
    <t>QZJ005673228</t>
  </si>
  <si>
    <t xml:space="preserve">BOOM HEAD SIDE </t>
  </si>
  <si>
    <t>BOOM TILT SIDE</t>
  </si>
  <si>
    <t>QZJ007015951</t>
  </si>
  <si>
    <t>RIGHT  PORT UPPER</t>
  </si>
  <si>
    <t>C5</t>
  </si>
  <si>
    <t>QZJ007019051</t>
  </si>
  <si>
    <t>LEFT PORT UPPER</t>
  </si>
  <si>
    <t>QZJ005220889</t>
  </si>
  <si>
    <t>LOWER SLIDER</t>
  </si>
  <si>
    <t>LEFT SIDE</t>
  </si>
  <si>
    <t>LOWER RIGHT</t>
  </si>
  <si>
    <t>LEFT LOWER</t>
  </si>
  <si>
    <t>RIGHT SIDE</t>
  </si>
  <si>
    <t>LEFT SIDE LOWER</t>
  </si>
  <si>
    <t>SQZJ005220885</t>
  </si>
  <si>
    <t>MOUTH LOWER</t>
  </si>
  <si>
    <t>C3</t>
  </si>
  <si>
    <t>05.03.26</t>
  </si>
  <si>
    <t>P8227623</t>
  </si>
  <si>
    <t>P829332</t>
  </si>
  <si>
    <t>AIR FILTER(INNER)</t>
  </si>
  <si>
    <t>LH0110D010BN/HC</t>
  </si>
  <si>
    <t>F0010051</t>
  </si>
  <si>
    <t>B4</t>
  </si>
  <si>
    <t>F0010050</t>
  </si>
  <si>
    <t>AIR FILTER INER</t>
  </si>
  <si>
    <t>M0030002</t>
  </si>
  <si>
    <t>FILTER ELEMENT</t>
  </si>
  <si>
    <t>500hrs maint.</t>
  </si>
  <si>
    <t>M0050058</t>
  </si>
  <si>
    <t>PRE FUEL FILTER</t>
  </si>
  <si>
    <t>M0050059</t>
  </si>
  <si>
    <t>FUEL FILTER PCV</t>
  </si>
  <si>
    <t>M0050061</t>
  </si>
  <si>
    <t>FILTER KIT</t>
  </si>
  <si>
    <t>B5</t>
  </si>
  <si>
    <t>M0050051</t>
  </si>
  <si>
    <t>MAI FUEL FILTER</t>
  </si>
  <si>
    <t>M0050028</t>
  </si>
  <si>
    <t>F4000700</t>
  </si>
  <si>
    <t>DIESEL FILTER</t>
  </si>
  <si>
    <t>M0050060</t>
  </si>
  <si>
    <t>O RING</t>
  </si>
  <si>
    <t>M0020001</t>
  </si>
  <si>
    <t>UNIVERSAL JOINT</t>
  </si>
  <si>
    <t>WL10160C6386</t>
  </si>
  <si>
    <t xml:space="preserve">BREATHER </t>
  </si>
  <si>
    <t>A5</t>
  </si>
  <si>
    <t>A0010559</t>
  </si>
  <si>
    <t>FILTER ELEMNT</t>
  </si>
  <si>
    <t>E2D06860C1707</t>
  </si>
  <si>
    <t>FNR SHIFTER</t>
  </si>
  <si>
    <t>A0020114</t>
  </si>
  <si>
    <t>MAIN FUEL FILTER</t>
  </si>
  <si>
    <t>P550909</t>
  </si>
  <si>
    <t>OIL FILTER</t>
  </si>
  <si>
    <t>E2D0850C0782</t>
  </si>
  <si>
    <t>RELAY</t>
  </si>
  <si>
    <t>E2D0830C1229</t>
  </si>
  <si>
    <t>FUEL LEVEL SENSOR</t>
  </si>
  <si>
    <t>HYDRAULIC TANK CAP</t>
  </si>
  <si>
    <t>22101528AR63</t>
  </si>
  <si>
    <t>WL10230C3101</t>
  </si>
  <si>
    <t>SHAFT</t>
  </si>
  <si>
    <t>ELEMENT ASSY</t>
  </si>
  <si>
    <t>ELEMENT</t>
  </si>
  <si>
    <t>FUEL CORTAGE</t>
  </si>
  <si>
    <t>BREATHER</t>
  </si>
  <si>
    <t>23H7012211</t>
  </si>
  <si>
    <t>GUIDE</t>
  </si>
  <si>
    <t>D2</t>
  </si>
  <si>
    <t>16.12.25</t>
  </si>
  <si>
    <t xml:space="preserve">FUEL FILTER </t>
  </si>
  <si>
    <t>D831903000</t>
  </si>
  <si>
    <t>AIR CLEANER</t>
  </si>
  <si>
    <t>lighting dg</t>
  </si>
  <si>
    <t>E26540408</t>
  </si>
  <si>
    <t>OIL LUBE FILTER`</t>
  </si>
  <si>
    <t>OIL FITER</t>
  </si>
  <si>
    <t>D3</t>
  </si>
  <si>
    <t>22101500DV16</t>
  </si>
  <si>
    <t>931590044100A</t>
  </si>
  <si>
    <t>OIL FITER ELEMNT</t>
  </si>
  <si>
    <t>14.10.25</t>
  </si>
  <si>
    <t>MAIN FILTER KIT</t>
  </si>
  <si>
    <t>24101600DH93</t>
  </si>
  <si>
    <t>FUEL WATER SAPERATOR</t>
  </si>
  <si>
    <t>HYDRAULIC KILTER</t>
  </si>
  <si>
    <t>24101600AN89</t>
  </si>
  <si>
    <t>ABH0F0400A00</t>
  </si>
  <si>
    <t>24101600DH94</t>
  </si>
  <si>
    <t>FUEL STANDER</t>
  </si>
  <si>
    <t>24101600CN87</t>
  </si>
  <si>
    <t>HYDRAULIC PUMP(T6C014)</t>
  </si>
  <si>
    <t>24101600DZ73</t>
  </si>
  <si>
    <t>CONTROL BLN VALVE</t>
  </si>
  <si>
    <t>24101600CX10</t>
  </si>
  <si>
    <t>RELAY VALVE</t>
  </si>
  <si>
    <t>UREA LEVEL SENSOR</t>
  </si>
  <si>
    <t>O RING (OIL FILTER)</t>
  </si>
  <si>
    <t>UREA TANK FILTER</t>
  </si>
  <si>
    <t>24101600K529</t>
  </si>
  <si>
    <t>PROPELLER SHAFT</t>
  </si>
  <si>
    <t>D4</t>
  </si>
  <si>
    <t>24101600CZ85</t>
  </si>
  <si>
    <t>LEAF SPRING (BKT)</t>
  </si>
  <si>
    <t>U TUBE ASSY UPPER</t>
  </si>
  <si>
    <t>24101600J423</t>
  </si>
  <si>
    <t>DUAL BRAKE</t>
  </si>
  <si>
    <t>MASTER CYL</t>
  </si>
  <si>
    <t>SLAVE CYL</t>
  </si>
  <si>
    <t>GRACHUWAD HAND</t>
  </si>
  <si>
    <t>24101600DF45</t>
  </si>
  <si>
    <t>IGNITION SWITCH</t>
  </si>
  <si>
    <t xml:space="preserve">PULLY </t>
  </si>
  <si>
    <t>D5</t>
  </si>
  <si>
    <t>24101600DK96</t>
  </si>
  <si>
    <t xml:space="preserve">BALL BEARING </t>
  </si>
  <si>
    <t>24101600CO10</t>
  </si>
  <si>
    <t>THRUST BALL BEARING</t>
  </si>
  <si>
    <t>U TUBE</t>
  </si>
  <si>
    <t>24101600CV91</t>
  </si>
  <si>
    <t>BH-200P1A11Y10</t>
  </si>
  <si>
    <t>PUMP</t>
  </si>
  <si>
    <t>BOOM PIN</t>
  </si>
  <si>
    <t xml:space="preserve">LEAF SPRING </t>
  </si>
  <si>
    <t>B6</t>
  </si>
  <si>
    <t>F3083306</t>
  </si>
  <si>
    <t>22101500FD41</t>
  </si>
  <si>
    <t>31Z5180743</t>
  </si>
  <si>
    <t>water tanker</t>
  </si>
  <si>
    <t>51Z7185908</t>
  </si>
  <si>
    <t>26101700AS68</t>
  </si>
  <si>
    <t>51Z7185884</t>
  </si>
  <si>
    <t xml:space="preserve">FUEL FILTER PRE </t>
  </si>
  <si>
    <t>MX300412021933</t>
  </si>
  <si>
    <t>V BELT, ALTERNATOR</t>
  </si>
  <si>
    <t>G-RACK</t>
  </si>
  <si>
    <t>15.11.2025</t>
  </si>
  <si>
    <t>6211K69800</t>
  </si>
  <si>
    <t>GASKET KI</t>
  </si>
  <si>
    <t>22101500FF73</t>
  </si>
  <si>
    <t>41Z5181088</t>
  </si>
  <si>
    <t>O RING (FUEL FILTER)</t>
  </si>
  <si>
    <t>25101601AJ50</t>
  </si>
  <si>
    <t>41Z9900131</t>
  </si>
  <si>
    <t>WATER PUMP GASKET</t>
  </si>
  <si>
    <t>985A591628</t>
  </si>
  <si>
    <t>DESICCANT</t>
  </si>
  <si>
    <t>22101500FH89</t>
  </si>
  <si>
    <t>41Z5181071</t>
  </si>
  <si>
    <t>OIL FILTER( O RING)</t>
  </si>
  <si>
    <t>25101503A240</t>
  </si>
  <si>
    <t>V BELT</t>
  </si>
  <si>
    <t>25101600AK91</t>
  </si>
  <si>
    <t>ALTERNATOR BELT</t>
  </si>
  <si>
    <t>26101400AH20</t>
  </si>
  <si>
    <t>VBELT</t>
  </si>
  <si>
    <t>25101601I059</t>
  </si>
  <si>
    <t>SET</t>
  </si>
  <si>
    <t>AX61X13X1550LT</t>
  </si>
  <si>
    <t>26111801AG28</t>
  </si>
  <si>
    <t>S12100070269</t>
  </si>
  <si>
    <t>THROWWELD -D58</t>
  </si>
  <si>
    <t>WELDING ROD SS-3.15mm</t>
  </si>
  <si>
    <t>G6</t>
  </si>
  <si>
    <t>XL-18</t>
  </si>
  <si>
    <t>WELDING ROD 4mm</t>
  </si>
  <si>
    <t>WELDING ROD 3.15mm</t>
  </si>
  <si>
    <t>WELDING ROD 4MM</t>
  </si>
  <si>
    <t>DFFCET CUTTING ROD</t>
  </si>
  <si>
    <t>G5</t>
  </si>
  <si>
    <t>FLAP DISC</t>
  </si>
  <si>
    <t>CUTTING Disc</t>
  </si>
  <si>
    <t>A30TB</t>
  </si>
  <si>
    <t>TYPE 41(DISC)</t>
  </si>
  <si>
    <t>CUTTING Disc (THICK)</t>
  </si>
  <si>
    <t>GRINDING WHEEL</t>
  </si>
  <si>
    <t>CUTTING DISC</t>
  </si>
  <si>
    <t>WELDING HOLDER</t>
  </si>
  <si>
    <t>FLASH BACK ARRESTOR</t>
  </si>
  <si>
    <t>CUTTING HOSE(GAS CUTTER)</t>
  </si>
  <si>
    <t>H6</t>
  </si>
  <si>
    <t>APRON CLOTH</t>
  </si>
  <si>
    <t>WELDING FACE SHEILD</t>
  </si>
  <si>
    <t>WELDING CALBLE(ADOR)</t>
  </si>
  <si>
    <t>25101600AH56</t>
  </si>
  <si>
    <t>TYRE,54,F/DMPR,PN:27*49-54 PR,MRF</t>
  </si>
  <si>
    <t>WORKSHOP</t>
  </si>
  <si>
    <t>12 V HORN</t>
  </si>
  <si>
    <t>AE ROOM</t>
  </si>
  <si>
    <t>24 V HORN</t>
  </si>
  <si>
    <t>HOURS METER</t>
  </si>
  <si>
    <t>24 V BULB 1176</t>
  </si>
  <si>
    <t>ROOT HORN 12 TO 24</t>
  </si>
  <si>
    <t>HEAD LIGHT SWITCH</t>
  </si>
  <si>
    <t>LED LIGHT</t>
  </si>
  <si>
    <t>24V SIRAN</t>
  </si>
  <si>
    <t>TOGGLE SWITCH</t>
  </si>
  <si>
    <t>FOG LAMP</t>
  </si>
  <si>
    <t>CAMERA SET</t>
  </si>
  <si>
    <t>EXTENSTATION BOARD WITH MCB</t>
  </si>
  <si>
    <t>REVERSE HORN 12V</t>
  </si>
  <si>
    <t>70MM SQUAREBATERY CABLE (RED)</t>
  </si>
  <si>
    <t>METER</t>
  </si>
  <si>
    <t>70MM SQUARE BATERY CABLE (BLACK)</t>
  </si>
  <si>
    <t>9559 MM SQUARE BATTERY CABLE RED</t>
  </si>
  <si>
    <t>9559 MM SQUARE BATTERY CABLE BLACK</t>
  </si>
  <si>
    <t>2.5 S9 MM SQUARE WIRE</t>
  </si>
  <si>
    <t>4MM WIRE  25 M</t>
  </si>
  <si>
    <t>ROLL</t>
  </si>
  <si>
    <t>6M WIRE 20M</t>
  </si>
  <si>
    <t>WATER TANKER SELF STARTER</t>
  </si>
  <si>
    <t>SELF STARTER EXPLOSIVE VAN</t>
  </si>
  <si>
    <t>EXPLOSIVE VAN</t>
  </si>
  <si>
    <t>SELF STARTER DIESEL TANKER</t>
  </si>
  <si>
    <t>BATTERY GELLY</t>
  </si>
  <si>
    <t>SLEEV 10MM</t>
  </si>
  <si>
    <t>+ &amp; - TERMINAL</t>
  </si>
  <si>
    <t>BEACON LAMP SOLAR</t>
  </si>
  <si>
    <t>BEACON LAMP ELECTRIC</t>
  </si>
  <si>
    <t>BATTERY CUT OFF SWITCH</t>
  </si>
  <si>
    <t>KEY SWITCH OF SWEEPING MACHINE</t>
  </si>
  <si>
    <t xml:space="preserve">RELAY </t>
  </si>
  <si>
    <t>HYDRA TAIL LAMP</t>
  </si>
  <si>
    <t>HYDRA BULB</t>
  </si>
  <si>
    <t>COMPACTOR KEY SWITCH</t>
  </si>
  <si>
    <t>CABIN FAN 24V</t>
  </si>
  <si>
    <t>TIMER RELAY OF WATER TANKER</t>
  </si>
  <si>
    <t>25 FUSE SMALL</t>
  </si>
  <si>
    <t>10 FUSE SMALL</t>
  </si>
  <si>
    <t>5 FUSE SMALL</t>
  </si>
  <si>
    <t>RELAY 24 VOLT</t>
  </si>
  <si>
    <t>RELAY 11 VOLT</t>
  </si>
  <si>
    <t>TIE CABLE 300</t>
  </si>
  <si>
    <t>TIE CABLE 100</t>
  </si>
  <si>
    <t>TIE CABLE 200</t>
  </si>
  <si>
    <t>TRACTOR FUSE 30A</t>
  </si>
  <si>
    <t>TRACTOR FUSE 80 A</t>
  </si>
  <si>
    <t>A3K4BO30006</t>
  </si>
  <si>
    <t>EXIDE BATTERY 120AMH</t>
  </si>
  <si>
    <t>BATTERY ROOM</t>
  </si>
  <si>
    <t>A3K4BO30212</t>
  </si>
  <si>
    <t>A4F4D013949</t>
  </si>
  <si>
    <t>EXIDE BATTERY 200AMH</t>
  </si>
  <si>
    <t>A3G4E163295</t>
  </si>
  <si>
    <t>A1K4B413782</t>
  </si>
  <si>
    <t>EXIDE BATTERY 100AMH</t>
  </si>
  <si>
    <t>A3K4A072685</t>
  </si>
  <si>
    <t>A3D5E028955</t>
  </si>
  <si>
    <t>EXIDE BATTERY 130AMH</t>
  </si>
  <si>
    <t>A3D5E028447</t>
  </si>
  <si>
    <t>A3K4A072458</t>
  </si>
  <si>
    <t>A3K4E302004</t>
  </si>
  <si>
    <t>A3D5B041831</t>
  </si>
  <si>
    <t>A3D5B045260</t>
  </si>
  <si>
    <t>A2K4C028677</t>
  </si>
  <si>
    <t>EXIDE BATTERY 80AMH</t>
  </si>
  <si>
    <t>A2K4C028618</t>
  </si>
  <si>
    <t>WELDING HAND SCREEN</t>
  </si>
  <si>
    <t>F5</t>
  </si>
  <si>
    <t>CUTTING SET</t>
  </si>
  <si>
    <t>ARALDITE CAP</t>
  </si>
  <si>
    <t>HYD BREATHER</t>
  </si>
  <si>
    <t>FLTR ELMNT TRANSMISSION</t>
  </si>
  <si>
    <t>ANLYZR OXYGEN TP 100PCT</t>
  </si>
  <si>
    <t>ALMIRAH-01</t>
  </si>
  <si>
    <t>OUTSIDE CALIPER</t>
  </si>
  <si>
    <t>BALL VALUE</t>
  </si>
  <si>
    <t>BAY-03</t>
  </si>
  <si>
    <t>BUTTERFLY VALVE 3</t>
  </si>
  <si>
    <t>V-BELT, AC BELT</t>
  </si>
  <si>
    <t>D SPANNER</t>
  </si>
  <si>
    <t>TOOL ROOM</t>
  </si>
  <si>
    <t>DC MOTOR</t>
  </si>
  <si>
    <t>F6</t>
  </si>
  <si>
    <t>FACE SHIELD, GRINDING</t>
  </si>
  <si>
    <t>25172500H351</t>
  </si>
  <si>
    <t>TROLLY WHEEL 4"</t>
  </si>
  <si>
    <t>HOSE KIT, WATER TANKER, BEML</t>
  </si>
  <si>
    <t>VERNIYEER CALLIPER- 300MM</t>
  </si>
  <si>
    <t>VERNIYEER CALLIPER- 150MM</t>
  </si>
  <si>
    <t>DIGITAL, TEMPRETURE GAUGE</t>
  </si>
  <si>
    <t>DIGITAL TECHOMETER</t>
  </si>
  <si>
    <t>NOICE METER</t>
  </si>
  <si>
    <t>PUNCH, NUMERICAL</t>
  </si>
  <si>
    <t>SPRITE LEVEL GAUGE</t>
  </si>
  <si>
    <t>ACCUMULATOR CHARGING KIT (R/B)</t>
  </si>
  <si>
    <t>ALCOHAL ANALYSER</t>
  </si>
  <si>
    <t>O-RING KIT, MM</t>
  </si>
  <si>
    <t>O-RING KIT, INCHES</t>
  </si>
  <si>
    <t>TYRE SIZE 14.00*25 20PR,PG6S,F/LOADER</t>
  </si>
  <si>
    <t>TYRE ROOM</t>
  </si>
  <si>
    <t>TUBE,14.00X25</t>
  </si>
  <si>
    <t>CPEM 021 ELECTRODE, 4MM, EWAC</t>
  </si>
  <si>
    <t>KG</t>
  </si>
  <si>
    <t>bucket welding</t>
  </si>
  <si>
    <t>GROUSING ROD, 4MM, EWAC</t>
  </si>
  <si>
    <t>XUPER 660 NH, 4MM, EWAC</t>
  </si>
  <si>
    <t>GROZ COMPLETE TOOL KIT SET</t>
  </si>
  <si>
    <t>ISSUE TO SURESH, MANTRAM, DEV, RAHUL, SATISH</t>
  </si>
  <si>
    <t>SCREW DRIVER SET</t>
  </si>
  <si>
    <t>SURESH KUMAR</t>
  </si>
  <si>
    <t>CHAMPION SET</t>
  </si>
  <si>
    <t>SCREW DRIVER BIG</t>
  </si>
  <si>
    <t>SUSPENSION CHARGING KIT, BEML</t>
  </si>
  <si>
    <t>TORQUE MULTIPLYER KIT</t>
  </si>
  <si>
    <t>NITROGEN CHARGING KIT, BREAKER</t>
  </si>
  <si>
    <t>AIR BLOWER</t>
  </si>
  <si>
    <t>PORTABLE DRILL MACHINE</t>
  </si>
  <si>
    <t>PORTABLE GRINDING MACHINE, AG4</t>
  </si>
  <si>
    <t>PORTABLE CHAP SAW MACHINE</t>
  </si>
  <si>
    <t>SOCKET HEAVY DUTY 46MM, 1 INCH, 10 INCH LENGTH</t>
  </si>
  <si>
    <t>SOCKET HEAVY DUTY 46MM, 1.5 INCH, 10 INCH LENGTH</t>
  </si>
  <si>
    <t>SOCKET HEAVY DUTY 65MM, 1.5 INCH</t>
  </si>
  <si>
    <t>SOCKET HEAVY DUTY 55MM, 1 INCH</t>
  </si>
  <si>
    <t>SOCKET HEAVY DUTY 46MM, 1 INCH</t>
  </si>
  <si>
    <t>EXTENSION HEAVY 1INCH, BIG</t>
  </si>
  <si>
    <t>EXTENSION HEAVY 1INCH, SMALL</t>
  </si>
  <si>
    <t>T-HANDLE, 1 INCH</t>
  </si>
  <si>
    <t>REDUCER HEAVY, 1INCH TO 1.5 INCH</t>
  </si>
  <si>
    <t>T-HANDLE, 0.5 INCH</t>
  </si>
  <si>
    <t>T-HANDLE, 1.5 INCH</t>
  </si>
  <si>
    <t>EXTENSION HEAVY 0.5INCH</t>
  </si>
  <si>
    <t>D-SPANNER, 50MM-55MM</t>
  </si>
  <si>
    <t>D-SPANNER, 46MM-50MM</t>
  </si>
  <si>
    <t>D-SPANNER, 41MM-46MM</t>
  </si>
  <si>
    <t>D-SPANNER, 36MM-41MM</t>
  </si>
  <si>
    <t>D-SPANNER, 36MM-38MM</t>
  </si>
  <si>
    <t>HAMMER SPANNER, 50MM</t>
  </si>
  <si>
    <t>HAMMER SPANNER, 55MM</t>
  </si>
  <si>
    <t>ALLEN KEY, 27 MM</t>
  </si>
  <si>
    <t>Broken</t>
  </si>
  <si>
    <t>WRETCHET, 1 INCH</t>
  </si>
  <si>
    <t>TORQUE WRENCH, 225 N-M</t>
  </si>
  <si>
    <t>TORQUE WRENCH, 810 N-M</t>
  </si>
  <si>
    <t>TORQUE WRENCH, 1380 N-M</t>
  </si>
  <si>
    <t>PORTABLE LAMP, GROZ</t>
  </si>
  <si>
    <t>HAMMER, 1KG</t>
  </si>
  <si>
    <t>HAMMER, 2KG</t>
  </si>
  <si>
    <t>HAMMER, 5KG</t>
  </si>
  <si>
    <t>PIPE WRENCH</t>
  </si>
  <si>
    <t>OIL DIP STICK GAUGE</t>
  </si>
  <si>
    <t>OIL ROOM</t>
  </si>
  <si>
    <t>D-SPANNER, 38MM</t>
  </si>
  <si>
    <t>HEXA FRAME</t>
  </si>
  <si>
    <t>WHEEL SPANNER, 30-32MM</t>
  </si>
  <si>
    <t>WHEEL SPANNER, 32-36MM</t>
  </si>
  <si>
    <t>WHEEL SPANNER, 27MM</t>
  </si>
  <si>
    <t>TOOL BAG WITH TOOL SET(LOADER, COMP, HYDRA)</t>
  </si>
  <si>
    <t>D-SHACKLE, 4 TON</t>
  </si>
  <si>
    <t>D-SHACKLE, 17 TON</t>
  </si>
  <si>
    <t>D-SHACKLE, 55 TON</t>
  </si>
  <si>
    <t>CHAIN BLOCK, 1 TON</t>
  </si>
  <si>
    <t>CHAIN BLOCK, 3 TON</t>
  </si>
  <si>
    <t>CHAIN BLOCK, 5 TON</t>
  </si>
  <si>
    <t>PNUEMATIC GREASE PUMP</t>
  </si>
  <si>
    <t>WASTE OIL COLLECTER</t>
  </si>
  <si>
    <t>TOOL BOX TROLLEY</t>
  </si>
  <si>
    <t>TYRE PRESSURE GAUGE</t>
  </si>
  <si>
    <t>HYDRAULIC JACK, 25 TON</t>
  </si>
  <si>
    <t>HYDRAULIC JACK, 50 TON</t>
  </si>
  <si>
    <t>HYDRAULIC JACK, 100 TON</t>
  </si>
  <si>
    <t>TOOL BAG</t>
  </si>
  <si>
    <t>787-H5-02576</t>
  </si>
  <si>
    <t>J2</t>
  </si>
  <si>
    <t>778-H5-06019</t>
  </si>
  <si>
    <t>778-H5-02593</t>
  </si>
  <si>
    <t>778-H5-02999</t>
  </si>
  <si>
    <t>935-FL-02828</t>
  </si>
  <si>
    <t>778-H5-02771</t>
  </si>
  <si>
    <t>778-H5-02869</t>
  </si>
  <si>
    <t>778-H5-02004</t>
  </si>
  <si>
    <t>07113-00509</t>
  </si>
  <si>
    <t>5654-1003-0000</t>
  </si>
  <si>
    <t>787-H5-04488</t>
  </si>
  <si>
    <t>778-H5-10555</t>
  </si>
  <si>
    <t>787-PI-03122</t>
  </si>
  <si>
    <t>787-HS-02543</t>
  </si>
  <si>
    <t>935-FL-02036</t>
  </si>
  <si>
    <t>787-FL-10264</t>
  </si>
  <si>
    <t>07113-00511</t>
  </si>
  <si>
    <t>787-FL-01256</t>
  </si>
  <si>
    <t>07260-21490</t>
  </si>
  <si>
    <t>787-HS-03823</t>
  </si>
  <si>
    <t>J5</t>
  </si>
  <si>
    <t>787-HS-03815</t>
  </si>
  <si>
    <t>787-HS-03807</t>
  </si>
  <si>
    <t>774-HS-02219</t>
  </si>
  <si>
    <t>787-HS-02227</t>
  </si>
  <si>
    <t>787-HS-02032</t>
  </si>
  <si>
    <t>774-HS-02049</t>
  </si>
  <si>
    <t>787-HS-03791</t>
  </si>
  <si>
    <t>787-HS-03401</t>
  </si>
  <si>
    <t>787-HS-04496</t>
  </si>
  <si>
    <t>07102-20316</t>
  </si>
  <si>
    <t>5643-9000-8509</t>
  </si>
  <si>
    <t>07102-20330</t>
  </si>
  <si>
    <t>787-FL-10248</t>
  </si>
  <si>
    <t>778-HS-02674</t>
  </si>
  <si>
    <t>787-HS-04285</t>
  </si>
  <si>
    <t>787-HS-04277</t>
  </si>
  <si>
    <t>787-HS-02065</t>
  </si>
  <si>
    <t>A0020106</t>
  </si>
  <si>
    <t>AIR FILTER ELEMENT</t>
  </si>
  <si>
    <t>A0020101</t>
  </si>
  <si>
    <t>A0020105</t>
  </si>
  <si>
    <t>A0020113</t>
  </si>
  <si>
    <t>FUEL PRE FILTER</t>
  </si>
  <si>
    <t>M0030010</t>
  </si>
  <si>
    <t>HYD. FILTER</t>
  </si>
  <si>
    <t>SK026544080</t>
  </si>
  <si>
    <t>LUBE OIL FILTER</t>
  </si>
  <si>
    <t>WELDING DG</t>
  </si>
  <si>
    <t>MAINT. VAN DG</t>
  </si>
  <si>
    <t>A0020102</t>
  </si>
  <si>
    <t>UREA SUCTION FILTER</t>
  </si>
  <si>
    <t>M12*1.75 HSS</t>
  </si>
  <si>
    <t>TAP SET</t>
  </si>
  <si>
    <t>M10*1.5 HSS</t>
  </si>
  <si>
    <t>M8*1.25 HSS</t>
  </si>
  <si>
    <t>M6*1.00 HSS</t>
  </si>
  <si>
    <t>M5*0.80 HSS</t>
  </si>
  <si>
    <t>M4*0.70 HSS</t>
  </si>
  <si>
    <t>M3*0.50 HSS</t>
  </si>
  <si>
    <t>AIR PRE FILTER</t>
  </si>
  <si>
    <t>WIPER BLADE UPPER</t>
  </si>
  <si>
    <t>WIPER BLADE LOWER</t>
  </si>
  <si>
    <t>E1D0840C0896</t>
  </si>
  <si>
    <t>REVERSE BUZZER</t>
  </si>
  <si>
    <t>953-EG-87338</t>
  </si>
  <si>
    <t>SWITCH</t>
  </si>
  <si>
    <t>ANEMOMETER</t>
  </si>
  <si>
    <t>HYDROMETER</t>
  </si>
  <si>
    <t>DRILLBIT 12MM</t>
  </si>
  <si>
    <t>V-BELT</t>
  </si>
  <si>
    <t>WHEEL NUT</t>
  </si>
  <si>
    <t>CASTOR WHEEL</t>
  </si>
  <si>
    <t>787-H5-02543</t>
  </si>
  <si>
    <t>07260-2490</t>
  </si>
  <si>
    <t>787-H5-03823</t>
  </si>
  <si>
    <t>787-H5-03807</t>
  </si>
  <si>
    <t>778-H5-02219</t>
  </si>
  <si>
    <t>787-H5-02227</t>
  </si>
  <si>
    <t>787-H502032</t>
  </si>
  <si>
    <t>774-H5-02049</t>
  </si>
  <si>
    <t>787-H5-03791</t>
  </si>
  <si>
    <t>787-H5-03401</t>
  </si>
  <si>
    <t>787-H5-04496</t>
  </si>
  <si>
    <t>7778-H5-02674</t>
  </si>
  <si>
    <t>787-H5-04285</t>
  </si>
  <si>
    <t>787-H5-04277</t>
  </si>
  <si>
    <t>787-H5-02065</t>
  </si>
  <si>
    <t>DRILL MACHINE, HAMMER</t>
  </si>
  <si>
    <t>DRILL BIT SET, 4, 5, 6, 8 MM</t>
  </si>
  <si>
    <t>ALMIRAH-03</t>
  </si>
  <si>
    <t>WELDING ELECTRODE 6013, 3.15MM</t>
  </si>
  <si>
    <t>WELDING ELECTRODE 7018, 2.5MM</t>
  </si>
  <si>
    <t>22101500DG09</t>
  </si>
  <si>
    <t>9718CP0178</t>
  </si>
  <si>
    <t>HOSE MAIN, BREAKER</t>
  </si>
  <si>
    <t>J4</t>
  </si>
  <si>
    <t>UREA LEVEL SENSOR, ULTRA T.19</t>
  </si>
  <si>
    <t>DRYING &amp; DISTRIBUTOR , AIR BOOSTER</t>
  </si>
  <si>
    <t>SEAT BELT REMINDER,12-24VDC,W/HMN VOICE</t>
  </si>
  <si>
    <t>A7N00900</t>
  </si>
  <si>
    <t>STARTER MOTOR, LOADER</t>
  </si>
  <si>
    <t>ANGLE GRINDER,MM:AG7,MAKE:BOSCH</t>
  </si>
  <si>
    <t>H3</t>
  </si>
  <si>
    <t>D-SHACKLE,10TON</t>
  </si>
  <si>
    <t>TAPE,RETRO REFLECTIVE,2IN,YELLOW,3M</t>
  </si>
  <si>
    <t>MTR</t>
  </si>
  <si>
    <t>H2</t>
  </si>
  <si>
    <t>TAPE,RETRO REFLECTIVE,2IN,WHITE,3M</t>
  </si>
  <si>
    <t>SWTCH;COMBINATION,LOADER 9020;PN</t>
  </si>
  <si>
    <t>HOSE ASSY;RUBBER;PN:WL10675C2245</t>
  </si>
  <si>
    <t>K3</t>
  </si>
  <si>
    <t>PNUEMATIC GREASE DISPENSING PUMP</t>
  </si>
  <si>
    <t>GREASING SYSTEM</t>
  </si>
  <si>
    <t>J1</t>
  </si>
  <si>
    <t>AUDIO VISUAL,REVERSE ALARM,PN:100374,24V</t>
  </si>
  <si>
    <t>22101528AR64</t>
  </si>
  <si>
    <t>NIPPLE,GI,PN:S340DAQ33302,L&amp;T</t>
  </si>
  <si>
    <t>PNUEMATIC OIL DISPENSING PUMP</t>
  </si>
  <si>
    <t>GREASE HOSE, FLEXIBLE</t>
  </si>
  <si>
    <t>APG/HD/Z/1-4F/B</t>
  </si>
  <si>
    <t>CONTROL VALVE, GREASE PUMP</t>
  </si>
  <si>
    <t>KIT/TP/RP-G/D</t>
  </si>
  <si>
    <t xml:space="preserve">KIT, OIL PUMP REPAIR </t>
  </si>
  <si>
    <t>KIT/T3/3/B</t>
  </si>
  <si>
    <t>KIT, GREASE PUMP REPAIR</t>
  </si>
  <si>
    <t>HC/11/4/B</t>
  </si>
  <si>
    <t>GREASE ADAPTOR/COUPLER</t>
  </si>
  <si>
    <t>TIG/D/24D/BSP</t>
  </si>
  <si>
    <t>TYRE INFLATOR GAUGE</t>
  </si>
  <si>
    <t>MAINT. VAN</t>
  </si>
  <si>
    <t>Maint. Van</t>
  </si>
  <si>
    <t>KIT/BTM/RP-G</t>
  </si>
  <si>
    <t>KIT, PUMPING SUCTION</t>
  </si>
  <si>
    <t>10675C2245</t>
  </si>
  <si>
    <t>HOSE LOADER</t>
  </si>
  <si>
    <t>GHC-18/B</t>
  </si>
  <si>
    <t>CONNECTING HOSE</t>
  </si>
  <si>
    <t>OIL PUMP</t>
  </si>
  <si>
    <t>HR/GR/1519/1-4/B</t>
  </si>
  <si>
    <t>HOSE REEL, GREASE</t>
  </si>
  <si>
    <t>8PK1734NEED</t>
  </si>
  <si>
    <t>SWEEPING MACHINE</t>
  </si>
  <si>
    <t>6PK992</t>
  </si>
  <si>
    <t>HYDRA 17T</t>
  </si>
  <si>
    <t>K4</t>
  </si>
  <si>
    <t>02766-00311</t>
  </si>
  <si>
    <t>K2</t>
  </si>
  <si>
    <t>FUEL HOSE (D.B.)</t>
  </si>
  <si>
    <t>UREA FILTER</t>
  </si>
  <si>
    <t>O-RING WATER TANKER</t>
  </si>
  <si>
    <t>SK8605926L0</t>
  </si>
  <si>
    <t>HOOK LATCH</t>
  </si>
  <si>
    <t>WEB SLING, 5T, 6MTR,</t>
  </si>
  <si>
    <t>WEB SLING, 5T, 3MTR,</t>
  </si>
  <si>
    <t>WEB SLING, 3T, 3MTR,</t>
  </si>
  <si>
    <t>WEB SLING, 2T, 3MTR,</t>
  </si>
  <si>
    <t>WEB SLING, 1T, 3MTR,</t>
  </si>
  <si>
    <t>D-SHACKLE, 5T</t>
  </si>
  <si>
    <t>CLAMP</t>
  </si>
  <si>
    <t>CLAMP, 2 INCH</t>
  </si>
  <si>
    <t>CR2K7123</t>
  </si>
  <si>
    <t>LUG</t>
  </si>
  <si>
    <t>PAINT BRUSH, 100MM</t>
  </si>
  <si>
    <t>PAINT BRUSH, 50MM</t>
  </si>
  <si>
    <t>WIRE ROPE, 6MM, 50 MTR</t>
  </si>
  <si>
    <t>SEAT ASSY, OPERATOR</t>
  </si>
  <si>
    <t>DEF FILTER</t>
  </si>
  <si>
    <t>FUEL FILTER ELEMENT</t>
  </si>
  <si>
    <t>ACCUMULATOR REPAIR KIT</t>
  </si>
  <si>
    <t>*</t>
  </si>
  <si>
    <t>DIAFARM</t>
  </si>
  <si>
    <t xml:space="preserve">O RING </t>
  </si>
  <si>
    <t>SCREW</t>
  </si>
  <si>
    <t>CAP</t>
  </si>
  <si>
    <t>N990000580B</t>
  </si>
  <si>
    <t>FUSE BOX</t>
  </si>
  <si>
    <t>9351590044100A</t>
  </si>
  <si>
    <t>931590015200A</t>
  </si>
  <si>
    <t>MASTER CYLINDER</t>
  </si>
  <si>
    <t>K5</t>
  </si>
  <si>
    <t>01.04.2026</t>
  </si>
  <si>
    <t>23.01.2026</t>
  </si>
  <si>
    <t>DITERGENT POWDER</t>
  </si>
  <si>
    <t>23-01-2026</t>
  </si>
  <si>
    <t>GUIDE PLATE</t>
  </si>
  <si>
    <t>TYRE,RADIAL,REF:235/75R15 F/BOLERO JEEP</t>
  </si>
  <si>
    <t>BOLERO CAMPER</t>
  </si>
  <si>
    <t>FLAP,SIZE:14.00X25</t>
  </si>
  <si>
    <t>BOSH DOT-4</t>
  </si>
  <si>
    <t>Clucth Oil</t>
  </si>
  <si>
    <t>Air Fiter</t>
  </si>
  <si>
    <t>Air Fiter(safety)</t>
  </si>
  <si>
    <t>1 NOS</t>
  </si>
  <si>
    <t xml:space="preserve">9 NOS </t>
  </si>
  <si>
    <t>5 NOS</t>
  </si>
  <si>
    <t xml:space="preserve">4 NOS </t>
  </si>
  <si>
    <t>10 NOS</t>
  </si>
  <si>
    <t>2 NOS</t>
  </si>
  <si>
    <t>8 NOS</t>
  </si>
  <si>
    <t>TOIL CLEANER</t>
  </si>
  <si>
    <t>29 NOS</t>
  </si>
  <si>
    <t>14 NOS</t>
  </si>
  <si>
    <t>RUSTOLIN</t>
  </si>
  <si>
    <t>19 NOS</t>
  </si>
  <si>
    <t>16 NOS</t>
  </si>
  <si>
    <t xml:space="preserve">STEERIN OIL </t>
  </si>
  <si>
    <t>6 NOS</t>
  </si>
  <si>
    <t>7 NOS</t>
  </si>
  <si>
    <t>11 NOS</t>
  </si>
  <si>
    <t xml:space="preserve">1 NOS </t>
  </si>
  <si>
    <t>1 PACKET</t>
  </si>
  <si>
    <t>2 BOX</t>
  </si>
  <si>
    <t>9NOS</t>
  </si>
  <si>
    <t>1 PKT</t>
  </si>
  <si>
    <t>LN KEY BOLT</t>
  </si>
  <si>
    <t>2  NOS</t>
  </si>
  <si>
    <t xml:space="preserve">PAD </t>
  </si>
  <si>
    <t>HOSE GRASE</t>
  </si>
  <si>
    <t>3 NOS</t>
  </si>
  <si>
    <t xml:space="preserve"> QZJ005649198</t>
  </si>
  <si>
    <t xml:space="preserve">10 NOS </t>
  </si>
  <si>
    <t xml:space="preserve">26 NOS </t>
  </si>
  <si>
    <t>6NOS</t>
  </si>
  <si>
    <t>2NOS</t>
  </si>
  <si>
    <t xml:space="preserve">3 NOS </t>
  </si>
  <si>
    <t>4NOS</t>
  </si>
  <si>
    <t>ABH0F0400A00A</t>
  </si>
  <si>
    <t>FUEL STANDERD</t>
  </si>
  <si>
    <t>4 NOS</t>
  </si>
  <si>
    <t>EYE WASHER WATER REPLACEMENT SCHEDULE</t>
  </si>
  <si>
    <t>SL. NO.</t>
  </si>
  <si>
    <t>DATE OF INSPECTION</t>
  </si>
  <si>
    <t>WATER REPLACED ON</t>
  </si>
  <si>
    <t>EYE WASHER WORKING CONDITION</t>
  </si>
  <si>
    <t>CHECKED BY</t>
  </si>
  <si>
    <t>3 PKT</t>
  </si>
  <si>
    <t>WELDING ROD SS-315</t>
  </si>
  <si>
    <t>35KG</t>
  </si>
  <si>
    <t>35kg</t>
  </si>
  <si>
    <t>WELDING ROD 3.5</t>
  </si>
  <si>
    <t>25KG</t>
  </si>
  <si>
    <t>40KG</t>
  </si>
  <si>
    <t>90KG</t>
  </si>
  <si>
    <t>100 NOS</t>
  </si>
  <si>
    <t>93 OS</t>
  </si>
  <si>
    <t>41NOS</t>
  </si>
  <si>
    <t>6 OS</t>
  </si>
  <si>
    <t>12 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</si>
</sst>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name val="Aptos Narrow"/>
      <family val="2"/>
      <scheme val="minor"/>
    </font>
    <font>
      <b/>
      <sz val="18"/>
      <color theme="1"/>
      <name val="Aptos Narrow"/>
      <family val="2"/>
      <scheme val="minor"/>
    </font>
    <font>
      <sz val="18"/>
      <color theme="1"/>
      <name val="Aptos Narrow"/>
      <family val="2"/>
      <scheme val="minor"/>
    </font>
    <font>
      <sz val="11"/>
      <color rgb="FF404040"/>
      <name val="Aptos Narrow"/>
      <family val="2"/>
      <scheme val="minor"/>
    </font>
    <font>
      <sz val="10"/>
      <color theme="1"/>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0"/>
        <bgColor rgb="FFFFFF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52">
    <xf numFmtId="0" fontId="0" fillId="0" borderId="0" xfId="0"/>
    <xf numFmtId="0" fontId="0" fillId="0" borderId="1" xfId="0" applyBorder="1" applyAlignment="1">
      <alignment horizontal="center" vertical="center"/>
    </xf>
    <xf numFmtId="1"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 fontId="0" fillId="0" borderId="0" xfId="0" applyNumberFormat="1" applyAlignment="1">
      <alignment horizontal="center" vertical="center"/>
    </xf>
    <xf numFmtId="0" fontId="0" fillId="0" borderId="0" xfId="0" applyAlignment="1">
      <alignment horizontal="center"/>
    </xf>
    <xf numFmtId="0" fontId="0" fillId="0" borderId="2" xfId="0" applyBorder="1"/>
    <xf numFmtId="0" fontId="0" fillId="0" borderId="1" xfId="0" applyBorder="1" applyAlignment="1">
      <alignment horizontal="center"/>
    </xf>
    <xf numFmtId="0" fontId="0" fillId="0" borderId="6" xfId="0" applyBorder="1"/>
    <xf numFmtId="0" fontId="0" fillId="0" borderId="7" xfId="0" applyBorder="1"/>
    <xf numFmtId="1"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left" vertical="center"/>
    </xf>
    <xf numFmtId="0" fontId="0" fillId="0" borderId="7" xfId="0" applyBorder="1" applyAlignment="1">
      <alignment horizontal="left" vertical="center"/>
    </xf>
    <xf numFmtId="0" fontId="0" fillId="0" borderId="0" xfId="0" applyAlignment="1">
      <alignment horizontal="left"/>
    </xf>
    <xf numFmtId="0" fontId="0" fillId="0" borderId="0" xfId="0" pivotButton="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center" vertical="center" wrapText="1"/>
    </xf>
    <xf numFmtId="0" fontId="0" fillId="3" borderId="0" xfId="0" applyFill="1" applyAlignment="1">
      <alignment wrapText="1"/>
    </xf>
    <xf numFmtId="0" fontId="1" fillId="4" borderId="4" xfId="0" applyFont="1" applyFill="1" applyBorder="1" applyAlignment="1">
      <alignment horizontal="left" vertical="center" wrapText="1"/>
    </xf>
    <xf numFmtId="1" fontId="0" fillId="0" borderId="4" xfId="0" applyNumberForma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4" fillId="0" borderId="0" xfId="0" applyFont="1"/>
    <xf numFmtId="0" fontId="1" fillId="0" borderId="1" xfId="0" applyFont="1" applyBorder="1"/>
    <xf numFmtId="4" fontId="0" fillId="0" borderId="1" xfId="0" applyNumberFormat="1" applyBorder="1"/>
    <xf numFmtId="4" fontId="0" fillId="0" borderId="7" xfId="0" applyNumberFormat="1" applyBorder="1"/>
    <xf numFmtId="4" fontId="0" fillId="0" borderId="1" xfId="0" applyNumberFormat="1" applyBorder="1" applyAlignment="1">
      <alignment horizontal="center" vertical="center"/>
    </xf>
    <xf numFmtId="2" fontId="0" fillId="0" borderId="1" xfId="0" applyNumberFormat="1" applyBorder="1" applyAlignment="1">
      <alignment horizontal="center"/>
    </xf>
    <xf numFmtId="2" fontId="0" fillId="0" borderId="7" xfId="0" applyNumberFormat="1" applyBorder="1" applyAlignment="1">
      <alignment horizontal="center"/>
    </xf>
    <xf numFmtId="1" fontId="0" fillId="0" borderId="1" xfId="0" applyNumberFormat="1" applyBorder="1" applyAlignment="1">
      <alignment horizontal="center"/>
    </xf>
    <xf numFmtId="1" fontId="0" fillId="0" borderId="7" xfId="0" applyNumberFormat="1" applyBorder="1" applyAlignment="1">
      <alignment horizontal="center"/>
    </xf>
    <xf numFmtId="2" fontId="0" fillId="0" borderId="0" xfId="0" applyNumberFormat="1"/>
    <xf numFmtId="0" fontId="0" fillId="0" borderId="7" xfId="0" applyBorder="1" applyAlignment="1">
      <alignment horizontal="left" vertical="center" wrapText="1"/>
    </xf>
    <xf numFmtId="14" fontId="0" fillId="0" borderId="7" xfId="0" applyNumberFormat="1" applyBorder="1"/>
    <xf numFmtId="14" fontId="0" fillId="0" borderId="1" xfId="0" applyNumberFormat="1" applyBorder="1"/>
    <xf numFmtId="0" fontId="0" fillId="0" borderId="7" xfId="0" quotePrefix="1" applyBorder="1" applyAlignment="1">
      <alignment horizontal="left" vertical="center"/>
    </xf>
    <xf numFmtId="0" fontId="0" fillId="0" borderId="8" xfId="0" applyBorder="1" applyAlignment="1">
      <alignment horizontal="center" vertical="center"/>
    </xf>
    <xf numFmtId="4" fontId="0" fillId="0" borderId="1" xfId="0" applyNumberFormat="1" applyBorder="1" applyAlignment="1">
      <alignment horizontal="center"/>
    </xf>
    <xf numFmtId="14" fontId="0" fillId="0" borderId="0" xfId="0" applyNumberFormat="1"/>
    <xf numFmtId="1" fontId="5" fillId="0" borderId="7" xfId="0" applyNumberFormat="1" applyFont="1" applyBorder="1" applyAlignment="1">
      <alignment horizontal="center"/>
    </xf>
    <xf numFmtId="1" fontId="0" fillId="0" borderId="0" xfId="0" applyNumberFormat="1" applyAlignment="1">
      <alignment horizontal="center"/>
    </xf>
    <xf numFmtId="1" fontId="0" fillId="0" borderId="7" xfId="0" applyNumberFormat="1" applyBorder="1" applyAlignment="1">
      <alignment horizontal="center" vertical="center" wrapText="1"/>
    </xf>
    <xf numFmtId="1" fontId="0" fillId="0" borderId="7" xfId="0" applyNumberFormat="1" applyBorder="1" applyAlignment="1">
      <alignment horizontal="left" vertical="center"/>
    </xf>
    <xf numFmtId="0" fontId="0" fillId="0" borderId="1" xfId="0" applyBorder="1" applyAlignment="1">
      <alignment horizontal="center" vertical="center" wrapText="1"/>
    </xf>
    <xf numFmtId="1" fontId="6" fillId="5" borderId="1" xfId="0" applyNumberFormat="1" applyFont="1" applyFill="1" applyBorder="1" applyAlignment="1">
      <alignment horizontal="center" vertical="center"/>
    </xf>
    <xf numFmtId="1" fontId="6" fillId="0" borderId="1" xfId="0" applyNumberFormat="1" applyFont="1" applyBorder="1" applyAlignment="1">
      <alignment horizontal="center" vertical="center"/>
    </xf>
    <xf numFmtId="0" fontId="1" fillId="0" borderId="0" xfId="0" applyFont="1" applyAlignment="1">
      <alignment horizontal="center"/>
    </xf>
    <xf numFmtId="0" fontId="3" fillId="0" borderId="1" xfId="0" applyFont="1" applyBorder="1" applyAlignment="1">
      <alignment horizontal="center"/>
    </xf>
  </cellXfs>
  <cellStyles count="1">
    <cellStyle name="Normal" xfId="0" builtinId="0"/>
  </cellStyles>
  <dxfs count="20">
    <dxf>
      <font>
        <color rgb="FF9C0006"/>
      </font>
      <fill>
        <patternFill>
          <bgColor rgb="FFFFC7CE"/>
        </patternFill>
      </fill>
    </dxf>
    <dxf>
      <font>
        <strike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Aptos Narrow"/>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 formatCode="0"/>
      <fill>
        <patternFill patternType="none">
          <fgColor indexed="64"/>
          <bgColor auto="1"/>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fill>
        <patternFill patternType="none">
          <fgColor indexed="64"/>
          <bgColor auto="1"/>
        </patternFill>
      </fill>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absolute">
    <xdr:from>
      <xdr:col>0</xdr:col>
      <xdr:colOff>95250</xdr:colOff>
      <xdr:row>0</xdr:row>
      <xdr:rowOff>123826</xdr:rowOff>
    </xdr:from>
    <xdr:to>
      <xdr:col>3</xdr:col>
      <xdr:colOff>2876550</xdr:colOff>
      <xdr:row>11</xdr:row>
      <xdr:rowOff>146685</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2CC04B02-45F8-AE8D-515B-342910333B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0" y="76201"/>
              <a:ext cx="3360420" cy="17906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1904</xdr:colOff>
      <xdr:row>0</xdr:row>
      <xdr:rowOff>68580</xdr:rowOff>
    </xdr:from>
    <xdr:to>
      <xdr:col>10</xdr:col>
      <xdr:colOff>702945</xdr:colOff>
      <xdr:row>11</xdr:row>
      <xdr:rowOff>106680</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00C6C789-E09B-FE57-0B75-973571A2F00A}"/>
                </a:ext>
                <a:ext uri="{147F2762-F138-4A5C-976F-8EAC2B608ADB}">
                  <a16:predDERef xmlns:a16="http://schemas.microsoft.com/office/drawing/2014/main" pred="{2CC04B02-45F8-AE8D-515B-342910333B1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189344" y="68580"/>
              <a:ext cx="6642736" cy="15087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anashyam Patar" refreshedDate="45930.480559953707" createdVersion="8" refreshedVersion="8" minRefreshableVersion="3" recordCount="332" xr:uid="{64CC1EA7-5615-4950-81F3-EDB869E02B26}">
  <cacheSource type="worksheet">
    <worksheetSource name="Table1"/>
  </cacheSource>
  <cacheFields count="13">
    <cacheField name="SL NO." numFmtId="0">
      <sharedItems containsString="0" containsBlank="1" containsNumber="1" containsInteger="1" minValue="1" maxValue="325"/>
    </cacheField>
    <cacheField name="MATERIAL CODE" numFmtId="1">
      <sharedItems containsBlank="1" containsMixedTypes="1" containsNumber="1" containsInteger="1" minValue="23271000317" maxValue="999894005984"/>
    </cacheField>
    <cacheField name="PART NUMBER" numFmtId="0">
      <sharedItems containsBlank="1" containsMixedTypes="1" containsNumber="1" containsInteger="1" minValue="7018" maxValue="100010731743012"/>
    </cacheField>
    <cacheField name="DESCRIPTION" numFmtId="0">
      <sharedItems containsBlank="1"/>
    </cacheField>
    <cacheField name="ACTUAL STOCK" numFmtId="0">
      <sharedItems containsSemiMixedTypes="0" containsString="0" containsNumber="1" containsInteger="1" minValue="0" maxValue="250"/>
    </cacheField>
    <cacheField name="QUANTITY" numFmtId="0">
      <sharedItems containsSemiMixedTypes="0" containsString="0" containsNumber="1" containsInteger="1" minValue="0" maxValue="250"/>
    </cacheField>
    <cacheField name="UOM" numFmtId="0">
      <sharedItems containsBlank="1"/>
    </cacheField>
    <cacheField name="UNIT PRICE" numFmtId="0">
      <sharedItems containsString="0" containsBlank="1" containsNumber="1" minValue="1" maxValue="352861"/>
    </cacheField>
    <cacheField name="AMOUNT" numFmtId="2">
      <sharedItems containsSemiMixedTypes="0" containsString="0" containsNumber="1" minValue="0" maxValue="1058583"/>
    </cacheField>
    <cacheField name="CATEGORY" numFmtId="0">
      <sharedItems containsBlank="1" count="21">
        <s v="MISCLLANEOUS"/>
        <s v="EXCAVATOR"/>
        <s v="ROCK BREAKER"/>
        <s v="SANY 300T"/>
        <s v="CHERRY PICKER"/>
        <s v="COMPACTOR"/>
        <s v="LOADER"/>
        <s v="GRADER"/>
        <s v="LIGHTING DG"/>
        <s v="HYDRA"/>
        <s v="WATER TANKER"/>
        <s v="BELT"/>
        <s v="WELDING ACCESSORIES"/>
        <s v="DUMPER"/>
        <s v="AUTO ELECTRICAL"/>
        <s v="BATTERY"/>
        <s v="SPECIAL TOOLS"/>
        <s v="TOOLS AND TACKLES"/>
        <s v="SCISSER LIFT"/>
        <s v="ELECTRODE"/>
        <m u="1"/>
      </sharedItems>
    </cacheField>
    <cacheField name="LOCATION" numFmtId="0">
      <sharedItems/>
    </cacheField>
    <cacheField name="CONSUMPTION" numFmtId="0">
      <sharedItems containsString="0" containsBlank="1" containsNumber="1" containsInteger="1" minValue="1" maxValue="8"/>
    </cacheField>
    <cacheField name="CONSUMPTION DATE" numFmtId="0">
      <sharedItems containsNonDate="0" containsDate="1" containsString="0" containsBlank="1" minDate="2025-09-20T00:00:00" maxDate="2025-09-3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s v="25101600AK88"/>
    <n v="570909130106"/>
    <s v="Air Fiter"/>
    <n v="3"/>
    <n v="3"/>
    <s v="NOS"/>
    <n v="2418.6999999999998"/>
    <n v="7256.0999999999995"/>
    <x v="0"/>
    <s v="A2"/>
    <m/>
    <m/>
  </r>
  <r>
    <n v="2"/>
    <s v="25101601AR89"/>
    <n v="570909130107"/>
    <s v="Air Fiter(safety)"/>
    <n v="3"/>
    <n v="3"/>
    <s v="NOS"/>
    <n v="925.38"/>
    <n v="2776.14"/>
    <x v="0"/>
    <s v="A3"/>
    <m/>
    <m/>
  </r>
  <r>
    <n v="3"/>
    <m/>
    <m/>
    <s v="Blasting Net"/>
    <n v="3"/>
    <n v="3"/>
    <s v="NOS"/>
    <m/>
    <n v="0"/>
    <x v="0"/>
    <s v="A1"/>
    <m/>
    <m/>
  </r>
  <r>
    <n v="4"/>
    <m/>
    <n v="570978130102"/>
    <s v="Oil Filter"/>
    <n v="3"/>
    <n v="3"/>
    <s v="NOS"/>
    <m/>
    <n v="0"/>
    <x v="0"/>
    <s v="A3"/>
    <m/>
    <m/>
  </r>
  <r>
    <n v="5"/>
    <m/>
    <n v="5023603"/>
    <s v="Air Filter"/>
    <n v="1"/>
    <n v="1"/>
    <s v="NOS"/>
    <m/>
    <n v="0"/>
    <x v="0"/>
    <s v="A3"/>
    <m/>
    <m/>
  </r>
  <r>
    <n v="6"/>
    <m/>
    <n v="700704426073"/>
    <s v="Alternator"/>
    <n v="1"/>
    <n v="1"/>
    <s v="NOS"/>
    <m/>
    <n v="0"/>
    <x v="0"/>
    <s v="A3"/>
    <m/>
    <m/>
  </r>
  <r>
    <n v="7"/>
    <m/>
    <n v="503929300101"/>
    <s v="Acctuator"/>
    <n v="1"/>
    <n v="1"/>
    <s v="NOS"/>
    <m/>
    <n v="0"/>
    <x v="0"/>
    <s v="A3"/>
    <m/>
    <m/>
  </r>
  <r>
    <n v="8"/>
    <s v="22101526B530"/>
    <s v="HLXS115PX"/>
    <s v="Pin ASSY"/>
    <n v="12"/>
    <n v="12"/>
    <s v="NOS"/>
    <n v="27418.5"/>
    <n v="329022"/>
    <x v="1"/>
    <s v="A6"/>
    <m/>
    <m/>
  </r>
  <r>
    <n v="9"/>
    <n v="221015268785"/>
    <s v="21N-939-3330"/>
    <s v="Pin"/>
    <n v="3"/>
    <n v="3"/>
    <s v="NOS"/>
    <n v="13236.75"/>
    <n v="39710.25"/>
    <x v="1"/>
    <s v="A6"/>
    <m/>
    <m/>
  </r>
  <r>
    <n v="10"/>
    <n v="311715000007"/>
    <m/>
    <s v="Grease Nipple 8mm"/>
    <n v="52"/>
    <n v="52"/>
    <s v="NOS"/>
    <n v="6"/>
    <n v="312"/>
    <x v="0"/>
    <s v="A4"/>
    <m/>
    <m/>
  </r>
  <r>
    <n v="11"/>
    <n v="311715000009"/>
    <m/>
    <s v="Grease Nipple 10mm"/>
    <n v="92"/>
    <n v="92"/>
    <s v="NOS"/>
    <n v="240"/>
    <n v="22080"/>
    <x v="0"/>
    <s v="A4"/>
    <m/>
    <m/>
  </r>
  <r>
    <n v="12"/>
    <m/>
    <m/>
    <s v="Grease Nipple 19mm"/>
    <n v="100"/>
    <n v="100"/>
    <s v="NOS"/>
    <m/>
    <n v="0"/>
    <x v="0"/>
    <s v="A4"/>
    <m/>
    <m/>
  </r>
  <r>
    <n v="13"/>
    <s v="40141736LS63"/>
    <m/>
    <s v="Grease Nipple 6mm"/>
    <n v="94"/>
    <n v="94"/>
    <s v="NOS"/>
    <n v="6.15"/>
    <n v="578.1"/>
    <x v="0"/>
    <s v="A4"/>
    <m/>
    <m/>
  </r>
  <r>
    <n v="14"/>
    <m/>
    <n v="56922728701"/>
    <s v="NUT"/>
    <n v="10"/>
    <n v="10"/>
    <s v="NOS"/>
    <m/>
    <n v="0"/>
    <x v="0"/>
    <s v="TR ROOM"/>
    <m/>
    <m/>
  </r>
  <r>
    <n v="15"/>
    <m/>
    <n v="5612771861"/>
    <s v="BOLT"/>
    <n v="2"/>
    <n v="2"/>
    <s v="NOS"/>
    <m/>
    <n v="0"/>
    <x v="0"/>
    <s v="TR ROOM"/>
    <m/>
    <m/>
  </r>
  <r>
    <n v="16"/>
    <m/>
    <m/>
    <s v="CLAP "/>
    <n v="4"/>
    <n v="4"/>
    <s v="NOS"/>
    <m/>
    <n v="0"/>
    <x v="0"/>
    <s v="A4"/>
    <m/>
    <m/>
  </r>
  <r>
    <n v="17"/>
    <m/>
    <m/>
    <s v="WIRE ROPE"/>
    <n v="1"/>
    <n v="1"/>
    <s v="NOS"/>
    <m/>
    <n v="0"/>
    <x v="0"/>
    <s v="D6"/>
    <m/>
    <m/>
  </r>
  <r>
    <n v="18"/>
    <m/>
    <n v="4330169300"/>
    <s v="REGULATOR "/>
    <n v="9"/>
    <n v="9"/>
    <s v="NOS"/>
    <m/>
    <n v="0"/>
    <x v="0"/>
    <s v="G4"/>
    <m/>
    <m/>
  </r>
  <r>
    <n v="19"/>
    <m/>
    <n v="31201600049"/>
    <s v="LOCK TIGHT"/>
    <n v="5"/>
    <n v="5"/>
    <s v="NOS"/>
    <m/>
    <n v="0"/>
    <x v="0"/>
    <s v="G3"/>
    <m/>
    <m/>
  </r>
  <r>
    <n v="20"/>
    <m/>
    <s v="RC-H 64616B"/>
    <s v="M SEAL"/>
    <n v="4"/>
    <n v="4"/>
    <s v="NOS"/>
    <m/>
    <n v="0"/>
    <x v="0"/>
    <s v="G3"/>
    <m/>
    <m/>
  </r>
  <r>
    <n v="21"/>
    <m/>
    <m/>
    <s v="THREAD LOCK"/>
    <n v="10"/>
    <n v="10"/>
    <s v="NOS"/>
    <m/>
    <n v="0"/>
    <x v="0"/>
    <s v="G3"/>
    <m/>
    <m/>
  </r>
  <r>
    <n v="22"/>
    <m/>
    <m/>
    <s v="FEVI QUICK"/>
    <n v="2"/>
    <n v="2"/>
    <s v="NOS"/>
    <m/>
    <n v="0"/>
    <x v="0"/>
    <s v="G3"/>
    <m/>
    <m/>
  </r>
  <r>
    <n v="23"/>
    <m/>
    <m/>
    <s v="FEVI TIGHT"/>
    <n v="8"/>
    <n v="8"/>
    <s v="NOS"/>
    <m/>
    <n v="0"/>
    <x v="0"/>
    <s v="G3"/>
    <m/>
    <m/>
  </r>
  <r>
    <n v="24"/>
    <m/>
    <n v="13016000152"/>
    <s v="SELICON"/>
    <n v="4"/>
    <n v="4"/>
    <s v="NOS"/>
    <m/>
    <n v="0"/>
    <x v="0"/>
    <s v="G3"/>
    <m/>
    <m/>
  </r>
  <r>
    <n v="25"/>
    <m/>
    <m/>
    <s v="TOILET CLEANER, HARPIC"/>
    <n v="29"/>
    <n v="29"/>
    <s v="NOS"/>
    <m/>
    <n v="0"/>
    <x v="0"/>
    <s v="G3"/>
    <m/>
    <m/>
  </r>
  <r>
    <n v="26"/>
    <m/>
    <n v="123500000135"/>
    <s v="ELECTRONIC CLEANWE"/>
    <n v="27"/>
    <n v="27"/>
    <s v="NOS"/>
    <m/>
    <n v="0"/>
    <x v="0"/>
    <s v="G3"/>
    <m/>
    <m/>
  </r>
  <r>
    <n v="27"/>
    <m/>
    <n v="7025001019"/>
    <s v="RUSTOLINE"/>
    <n v="19"/>
    <n v="19"/>
    <s v="NOS"/>
    <m/>
    <n v="0"/>
    <x v="0"/>
    <s v="G2"/>
    <m/>
    <m/>
  </r>
  <r>
    <n v="28"/>
    <m/>
    <n v="151215090002"/>
    <s v="ECOFLOW DOT-3 OIL"/>
    <n v="16"/>
    <n v="16"/>
    <s v="NOS"/>
    <m/>
    <n v="0"/>
    <x v="0"/>
    <s v="G2"/>
    <m/>
    <m/>
  </r>
  <r>
    <n v="29"/>
    <m/>
    <m/>
    <s v="STEERING OIL "/>
    <n v="2"/>
    <n v="2"/>
    <s v="NOS"/>
    <m/>
    <n v="0"/>
    <x v="0"/>
    <s v="G2"/>
    <m/>
    <m/>
  </r>
  <r>
    <n v="30"/>
    <m/>
    <m/>
    <s v="DOT -4 TATA"/>
    <n v="5"/>
    <n v="5"/>
    <s v="NOS"/>
    <m/>
    <n v="0"/>
    <x v="0"/>
    <s v="G2"/>
    <m/>
    <m/>
  </r>
  <r>
    <n v="31"/>
    <m/>
    <m/>
    <s v="COLLIN CLEANER"/>
    <n v="14"/>
    <n v="16"/>
    <s v="NOS"/>
    <m/>
    <n v="0"/>
    <x v="0"/>
    <s v="G2"/>
    <n v="2"/>
    <d v="2025-09-20T00:00:00"/>
  </r>
  <r>
    <n v="32"/>
    <m/>
    <s v="AX 1013359"/>
    <s v="REDIWASH"/>
    <n v="10"/>
    <n v="10"/>
    <s v="NOS"/>
    <m/>
    <n v="0"/>
    <x v="0"/>
    <s v="G1"/>
    <m/>
    <m/>
  </r>
  <r>
    <n v="33"/>
    <m/>
    <m/>
    <s v="COMPRESSOR OIL ELGI"/>
    <n v="6"/>
    <n v="6"/>
    <s v="NOS"/>
    <m/>
    <n v="0"/>
    <x v="0"/>
    <s v="G1"/>
    <m/>
    <m/>
  </r>
  <r>
    <n v="34"/>
    <m/>
    <m/>
    <s v="BARRICATING TAPE"/>
    <n v="7"/>
    <n v="7"/>
    <s v="NOS"/>
    <m/>
    <n v="0"/>
    <x v="0"/>
    <s v="F1"/>
    <m/>
    <m/>
  </r>
  <r>
    <n v="35"/>
    <m/>
    <m/>
    <s v="EYE WASHER"/>
    <n v="2"/>
    <n v="2"/>
    <s v="NOS"/>
    <m/>
    <n v="0"/>
    <x v="0"/>
    <s v="F1"/>
    <m/>
    <m/>
  </r>
  <r>
    <n v="36"/>
    <m/>
    <s v="RVUNO490R"/>
    <s v="MIRROR"/>
    <n v="7"/>
    <n v="7"/>
    <s v="NOS"/>
    <m/>
    <n v="0"/>
    <x v="0"/>
    <s v="F2"/>
    <m/>
    <m/>
  </r>
  <r>
    <n v="37"/>
    <m/>
    <s v="RV-UN0500L"/>
    <s v="MIRROR"/>
    <n v="8"/>
    <n v="8"/>
    <s v="NOS"/>
    <m/>
    <n v="0"/>
    <x v="0"/>
    <s v="F2"/>
    <m/>
    <m/>
  </r>
  <r>
    <n v="38"/>
    <m/>
    <m/>
    <s v="FUEL PUMP NOZZEL "/>
    <n v="6"/>
    <n v="6"/>
    <s v="NOS"/>
    <m/>
    <n v="0"/>
    <x v="0"/>
    <s v="F4"/>
    <m/>
    <m/>
  </r>
  <r>
    <n v="39"/>
    <m/>
    <n v="564596"/>
    <s v="BOLT ANCHOR"/>
    <n v="14"/>
    <n v="14"/>
    <s v="NOS"/>
    <m/>
    <n v="0"/>
    <x v="0"/>
    <s v="F3"/>
    <m/>
    <m/>
  </r>
  <r>
    <n v="40"/>
    <m/>
    <n v="50259"/>
    <s v="THREAD ROD"/>
    <n v="6"/>
    <n v="6"/>
    <s v="NOS"/>
    <m/>
    <n v="0"/>
    <x v="0"/>
    <s v="F3"/>
    <m/>
    <m/>
  </r>
  <r>
    <n v="41"/>
    <m/>
    <m/>
    <s v="FOOT VALVE FLAP "/>
    <n v="11"/>
    <n v="11"/>
    <s v="NOS"/>
    <m/>
    <n v="0"/>
    <x v="0"/>
    <s v="H5"/>
    <m/>
    <m/>
  </r>
  <r>
    <n v="42"/>
    <m/>
    <m/>
    <s v="GLAND ROPE"/>
    <n v="1"/>
    <n v="1"/>
    <s v="NOS"/>
    <m/>
    <n v="0"/>
    <x v="0"/>
    <s v="H5"/>
    <m/>
    <m/>
  </r>
  <r>
    <n v="43"/>
    <m/>
    <m/>
    <s v="CLOTH ROOL"/>
    <n v="5"/>
    <n v="5"/>
    <s v="NOS"/>
    <m/>
    <n v="0"/>
    <x v="0"/>
    <s v="H5"/>
    <m/>
    <m/>
  </r>
  <r>
    <n v="44"/>
    <m/>
    <m/>
    <s v="TAGGING ROPE"/>
    <n v="1"/>
    <n v="1"/>
    <s v="PACKET"/>
    <m/>
    <n v="0"/>
    <x v="0"/>
    <s v="F4"/>
    <m/>
    <m/>
  </r>
  <r>
    <n v="45"/>
    <m/>
    <m/>
    <s v="CAMERA"/>
    <n v="1"/>
    <n v="1"/>
    <s v="NOS"/>
    <m/>
    <n v="0"/>
    <x v="0"/>
    <s v="H5"/>
    <m/>
    <m/>
  </r>
  <r>
    <n v="46"/>
    <m/>
    <m/>
    <s v="BELT 10T/6M"/>
    <n v="4"/>
    <n v="4"/>
    <s v="NOS"/>
    <m/>
    <n v="0"/>
    <x v="0"/>
    <s v="E1"/>
    <m/>
    <m/>
  </r>
  <r>
    <n v="47"/>
    <m/>
    <m/>
    <s v="BELT 3T/ 3M"/>
    <n v="4"/>
    <n v="4"/>
    <s v="NOS"/>
    <m/>
    <n v="0"/>
    <x v="0"/>
    <s v="E2"/>
    <m/>
    <m/>
  </r>
  <r>
    <n v="48"/>
    <m/>
    <m/>
    <s v="BELT 20T/16M"/>
    <n v="4"/>
    <n v="4"/>
    <s v="NOS"/>
    <m/>
    <n v="0"/>
    <x v="0"/>
    <s v="E3"/>
    <m/>
    <m/>
  </r>
  <r>
    <n v="49"/>
    <m/>
    <m/>
    <s v="BELT 1T/3M"/>
    <n v="4"/>
    <n v="4"/>
    <s v="NOS"/>
    <m/>
    <n v="0"/>
    <x v="0"/>
    <s v="E4"/>
    <m/>
    <m/>
  </r>
  <r>
    <n v="50"/>
    <m/>
    <m/>
    <s v="BELT 3T/6M"/>
    <n v="1"/>
    <n v="1"/>
    <s v="NOS"/>
    <m/>
    <n v="0"/>
    <x v="0"/>
    <s v="E5"/>
    <m/>
    <m/>
  </r>
  <r>
    <n v="51"/>
    <m/>
    <m/>
    <s v="MONO BLOCK PUMP"/>
    <n v="1"/>
    <n v="1"/>
    <s v="NOS"/>
    <m/>
    <n v="0"/>
    <x v="0"/>
    <s v="H5"/>
    <m/>
    <m/>
  </r>
  <r>
    <n v="52"/>
    <m/>
    <m/>
    <s v="WHEEL TROLLY"/>
    <n v="2"/>
    <n v="2"/>
    <s v="BOX"/>
    <m/>
    <n v="0"/>
    <x v="0"/>
    <s v="H4"/>
    <m/>
    <m/>
  </r>
  <r>
    <n v="53"/>
    <m/>
    <m/>
    <s v="HIGHMAST LAMP"/>
    <n v="9"/>
    <n v="9"/>
    <s v="NOS"/>
    <m/>
    <n v="0"/>
    <x v="0"/>
    <s v="H1"/>
    <m/>
    <m/>
  </r>
  <r>
    <n v="54"/>
    <s v="22101526AF47"/>
    <s v="HLXS122RC"/>
    <s v="TOOTH "/>
    <n v="6"/>
    <n v="6"/>
    <s v="NOS"/>
    <n v="99352"/>
    <n v="596112"/>
    <x v="1"/>
    <s v="GROUND"/>
    <m/>
    <m/>
  </r>
  <r>
    <n v="55"/>
    <m/>
    <s v="7122272B"/>
    <s v="SIDE EDGE"/>
    <n v="1"/>
    <n v="1"/>
    <s v="NOS"/>
    <m/>
    <n v="0"/>
    <x v="0"/>
    <s v="GROUND"/>
    <m/>
    <m/>
  </r>
  <r>
    <n v="56"/>
    <m/>
    <m/>
    <s v="ADD BLUE"/>
    <n v="17"/>
    <n v="19"/>
    <s v="NOS"/>
    <m/>
    <n v="0"/>
    <x v="0"/>
    <s v="GROUND"/>
    <n v="2"/>
    <m/>
  </r>
  <r>
    <n v="57"/>
    <m/>
    <n v="197387"/>
    <s v="HOSE"/>
    <n v="1"/>
    <n v="1"/>
    <s v="PACKET"/>
    <m/>
    <n v="0"/>
    <x v="0"/>
    <s v="B1"/>
    <m/>
    <m/>
  </r>
  <r>
    <n v="58"/>
    <m/>
    <n v="197384"/>
    <s v="HOSE"/>
    <n v="1"/>
    <n v="1"/>
    <s v="PACKET"/>
    <m/>
    <n v="0"/>
    <x v="0"/>
    <s v="B1"/>
    <m/>
    <m/>
  </r>
  <r>
    <n v="59"/>
    <m/>
    <n v="197385"/>
    <s v="HOSE"/>
    <n v="1"/>
    <n v="1"/>
    <s v="PACKET"/>
    <m/>
    <n v="0"/>
    <x v="0"/>
    <s v="B1"/>
    <m/>
    <m/>
  </r>
  <r>
    <m/>
    <n v="201017111200"/>
    <n v="3363089850"/>
    <s v="ACCUMULATOR REPAIR KIT"/>
    <n v="2"/>
    <n v="2"/>
    <s v="SET"/>
    <n v="17164.8"/>
    <n v="34329.599999999999"/>
    <x v="2"/>
    <s v="B2"/>
    <m/>
    <m/>
  </r>
  <r>
    <m/>
    <s v="*"/>
    <n v="3361329022"/>
    <s v="DIAFARM"/>
    <n v="2"/>
    <n v="2"/>
    <s v="NOS"/>
    <m/>
    <n v="0"/>
    <x v="2"/>
    <s v="B2"/>
    <m/>
    <m/>
  </r>
  <r>
    <m/>
    <s v="*"/>
    <n v="3360314364"/>
    <s v="O RING "/>
    <n v="2"/>
    <n v="2"/>
    <s v="NOS"/>
    <m/>
    <n v="0"/>
    <x v="2"/>
    <s v="B2"/>
    <m/>
    <m/>
  </r>
  <r>
    <m/>
    <s v="*"/>
    <n v="3362328046"/>
    <s v="O RING "/>
    <n v="2"/>
    <n v="2"/>
    <s v="NOS"/>
    <m/>
    <n v="0"/>
    <x v="2"/>
    <s v="B2"/>
    <m/>
    <m/>
  </r>
  <r>
    <m/>
    <s v="*"/>
    <n v="3360332259"/>
    <s v="SCREW"/>
    <n v="2"/>
    <n v="2"/>
    <s v="NOS"/>
    <m/>
    <n v="0"/>
    <x v="2"/>
    <s v="B2"/>
    <m/>
    <m/>
  </r>
  <r>
    <m/>
    <s v="*"/>
    <n v="3361335025"/>
    <s v="CAP"/>
    <n v="2"/>
    <n v="2"/>
    <s v="NOS"/>
    <m/>
    <n v="0"/>
    <x v="2"/>
    <s v="B2"/>
    <m/>
    <m/>
  </r>
  <r>
    <m/>
    <s v="*"/>
    <n v="3360314460"/>
    <s v="O RING "/>
    <n v="2"/>
    <n v="2"/>
    <s v="NOS"/>
    <m/>
    <n v="0"/>
    <x v="2"/>
    <s v="B2"/>
    <m/>
    <m/>
  </r>
  <r>
    <n v="60"/>
    <s v="22101500FA83"/>
    <n v="3363083591"/>
    <s v="GROW RING SET"/>
    <n v="1"/>
    <n v="1"/>
    <s v="NOS"/>
    <n v="5644.8"/>
    <n v="5644.8"/>
    <x v="2"/>
    <s v="B2"/>
    <m/>
    <m/>
  </r>
  <r>
    <n v="61"/>
    <n v="314000000860"/>
    <s v="CPF0601412"/>
    <s v="WASHER SEAL"/>
    <n v="4"/>
    <n v="4"/>
    <s v="NOS"/>
    <m/>
    <n v="0"/>
    <x v="2"/>
    <s v="B2"/>
    <m/>
    <m/>
  </r>
  <r>
    <n v="62"/>
    <m/>
    <n v="3363087482"/>
    <s v="STUTZ RING"/>
    <n v="1"/>
    <n v="1"/>
    <s v="NOS"/>
    <m/>
    <n v="0"/>
    <x v="2"/>
    <s v="B2"/>
    <m/>
    <m/>
  </r>
  <r>
    <n v="63"/>
    <m/>
    <n v="33630830370"/>
    <s v="CFW NUT RING"/>
    <n v="1"/>
    <n v="1"/>
    <s v="NOS"/>
    <m/>
    <n v="0"/>
    <x v="2"/>
    <s v="B2"/>
    <m/>
    <m/>
  </r>
  <r>
    <n v="64"/>
    <m/>
    <n v="3363111412"/>
    <s v="ALEN KEY BOLT"/>
    <n v="2"/>
    <n v="2"/>
    <s v="NOS"/>
    <m/>
    <n v="0"/>
    <x v="2"/>
    <s v="B2"/>
    <m/>
    <m/>
  </r>
  <r>
    <n v="65"/>
    <s v="22101500FC19"/>
    <n v="3363069081"/>
    <s v="BUFFER RING"/>
    <n v="1"/>
    <n v="1"/>
    <s v="NOS"/>
    <n v="65147.42"/>
    <n v="65147.42"/>
    <x v="2"/>
    <s v="B2"/>
    <m/>
    <m/>
  </r>
  <r>
    <n v="66"/>
    <s v="22101500BO27"/>
    <n v="3363115515"/>
    <s v="COVER"/>
    <n v="1"/>
    <n v="1"/>
    <s v="NOS"/>
    <n v="6072.39"/>
    <n v="6072.39"/>
    <x v="2"/>
    <s v="B2"/>
    <m/>
    <m/>
  </r>
  <r>
    <n v="67"/>
    <n v="231522040102"/>
    <n v="3363121816"/>
    <s v="SWIVEL COVER"/>
    <n v="2"/>
    <n v="2"/>
    <s v="NOS"/>
    <n v="26131.200000000001"/>
    <n v="52262.400000000001"/>
    <x v="2"/>
    <s v="B2"/>
    <m/>
    <m/>
  </r>
  <r>
    <n v="68"/>
    <n v="201017110964"/>
    <n v="3363067123"/>
    <s v="CONTI LUBE"/>
    <n v="1"/>
    <n v="1"/>
    <s v="NOS"/>
    <n v="167965.06"/>
    <n v="167965.06"/>
    <x v="2"/>
    <s v="B2"/>
    <m/>
    <m/>
  </r>
  <r>
    <n v="69"/>
    <s v="25101600AF22"/>
    <n v="3363115360"/>
    <s v="GURD PLATE"/>
    <n v="2"/>
    <n v="2"/>
    <s v="NOS"/>
    <n v="23658.240000000002"/>
    <n v="47316.480000000003"/>
    <x v="2"/>
    <s v="B1"/>
    <m/>
    <m/>
  </r>
  <r>
    <n v="70"/>
    <s v="22101500FC33"/>
    <n v="3363105727"/>
    <s v="BUSH"/>
    <n v="1"/>
    <n v="1"/>
    <s v="NOS"/>
    <n v="99742.75"/>
    <n v="99742.75"/>
    <x v="2"/>
    <s v="B3"/>
    <m/>
    <m/>
  </r>
  <r>
    <n v="71"/>
    <s v="22101500FC35"/>
    <n v="3363104395"/>
    <s v="BUSH"/>
    <n v="1"/>
    <n v="1"/>
    <s v="NOS"/>
    <n v="92955.55"/>
    <n v="92955.55"/>
    <x v="2"/>
    <s v="B3"/>
    <m/>
    <m/>
  </r>
  <r>
    <n v="72"/>
    <m/>
    <m/>
    <s v="ALEN KEY BOLT"/>
    <n v="7"/>
    <n v="7"/>
    <s v="NOS"/>
    <m/>
    <n v="0"/>
    <x v="2"/>
    <s v="B3"/>
    <m/>
    <m/>
  </r>
  <r>
    <n v="73"/>
    <s v="20101711A219"/>
    <n v="3362261541"/>
    <s v="LOCKING BOLT"/>
    <n v="2"/>
    <n v="2"/>
    <s v="NOS"/>
    <n v="11126.4"/>
    <n v="22252.799999999999"/>
    <x v="2"/>
    <s v="B3"/>
    <m/>
    <m/>
  </r>
  <r>
    <n v="74"/>
    <n v="221015247512"/>
    <n v="3361854347"/>
    <s v="BOLT"/>
    <n v="2"/>
    <n v="2"/>
    <s v="NOS"/>
    <n v="6955.59"/>
    <n v="13911.18"/>
    <x v="2"/>
    <s v="B3"/>
    <m/>
    <m/>
  </r>
  <r>
    <n v="75"/>
    <n v="201017110418"/>
    <n v="3361850596"/>
    <s v="PAIR LOCK RING"/>
    <n v="1"/>
    <n v="1"/>
    <s v="NOS"/>
    <n v="306.24"/>
    <n v="306.24"/>
    <x v="2"/>
    <s v="B3"/>
    <m/>
    <m/>
  </r>
  <r>
    <n v="76"/>
    <s v="25101503D235"/>
    <n v="3360103750"/>
    <s v="CYLINDRICAL BOLT"/>
    <n v="1"/>
    <n v="1"/>
    <s v="NOS"/>
    <n v="197.76"/>
    <n v="197.76"/>
    <x v="2"/>
    <s v="B3"/>
    <m/>
    <m/>
  </r>
  <r>
    <n v="77"/>
    <n v="201017110556"/>
    <n v="3361850422"/>
    <s v="SEAT OF SEALING"/>
    <n v="1"/>
    <n v="1"/>
    <s v="NOS"/>
    <n v="3465.86"/>
    <n v="3465.86"/>
    <x v="2"/>
    <s v="B3"/>
    <m/>
    <m/>
  </r>
  <r>
    <n v="78"/>
    <n v="201017111005"/>
    <n v="3363087286"/>
    <s v="FILLING VALVE"/>
    <n v="1"/>
    <n v="1"/>
    <s v="NOS"/>
    <m/>
    <n v="0"/>
    <x v="2"/>
    <s v="B3"/>
    <m/>
    <m/>
  </r>
  <r>
    <n v="79"/>
    <m/>
    <m/>
    <s v="PAD "/>
    <n v="1"/>
    <n v="1"/>
    <s v="NOS"/>
    <m/>
    <n v="0"/>
    <x v="2"/>
    <s v="B3"/>
    <m/>
    <m/>
  </r>
  <r>
    <n v="80"/>
    <s v="22101500FA82"/>
    <n v="3363122838"/>
    <s v="SEAL KIT"/>
    <n v="1"/>
    <n v="1"/>
    <s v="NOS"/>
    <n v="85175"/>
    <n v="85175"/>
    <x v="2"/>
    <s v="B3"/>
    <m/>
    <m/>
  </r>
  <r>
    <n v="81"/>
    <n v="201017110416"/>
    <n v="3363087185"/>
    <s v="FITTING"/>
    <n v="1"/>
    <n v="1"/>
    <s v="NOS"/>
    <n v="21387.84"/>
    <n v="21387.84"/>
    <x v="2"/>
    <s v="B3"/>
    <m/>
    <m/>
  </r>
  <r>
    <n v="82"/>
    <n v="201017110414"/>
    <n v="3363083873"/>
    <s v="HOSE GREASE"/>
    <n v="1"/>
    <n v="1"/>
    <s v="NOS"/>
    <n v="18401.28"/>
    <n v="18401.28"/>
    <x v="2"/>
    <s v="B3"/>
    <m/>
    <m/>
  </r>
  <r>
    <n v="83"/>
    <n v="401615050114"/>
    <s v="A222100000411"/>
    <s v="AIR FILTER"/>
    <n v="1"/>
    <n v="1"/>
    <s v="NOS"/>
    <n v="3732.35"/>
    <n v="3732.35"/>
    <x v="3"/>
    <s v="C1"/>
    <m/>
    <m/>
  </r>
  <r>
    <n v="84"/>
    <n v="401616020008"/>
    <s v="B222100000364"/>
    <s v="AIR FILTER(PRE)"/>
    <n v="1"/>
    <n v="1"/>
    <s v="NOS"/>
    <n v="1"/>
    <n v="1"/>
    <x v="3"/>
    <s v="C1"/>
    <m/>
    <m/>
  </r>
  <r>
    <n v="85"/>
    <m/>
    <n v="60101256"/>
    <s v="COOLING OIL RETURN FILTER"/>
    <n v="2"/>
    <n v="2"/>
    <s v="NOS"/>
    <m/>
    <n v="0"/>
    <x v="3"/>
    <s v="C2"/>
    <m/>
    <m/>
  </r>
  <r>
    <n v="86"/>
    <n v="999893014333"/>
    <s v="160101120023A007"/>
    <s v="UREA PUMP FILTER"/>
    <n v="3"/>
    <n v="3"/>
    <s v="NOS"/>
    <n v="8878"/>
    <n v="26634"/>
    <x v="3"/>
    <s v="C1"/>
    <m/>
    <m/>
  </r>
  <r>
    <n v="87"/>
    <m/>
    <s v="B222100000257"/>
    <s v="HIGH PRESSURE FILTER"/>
    <n v="2"/>
    <n v="2"/>
    <s v="NOS"/>
    <m/>
    <n v="0"/>
    <x v="3"/>
    <s v="C1"/>
    <m/>
    <m/>
  </r>
  <r>
    <n v="88"/>
    <m/>
    <n v="60328868"/>
    <s v="FUEL SYSTEM PROCTECTIN "/>
    <n v="2"/>
    <n v="2"/>
    <s v="NOS"/>
    <m/>
    <n v="0"/>
    <x v="3"/>
    <s v="C2"/>
    <m/>
    <m/>
  </r>
  <r>
    <n v="89"/>
    <n v="999893014332"/>
    <n v="60327523"/>
    <s v="OIL FILTER "/>
    <n v="2"/>
    <n v="2"/>
    <s v="NOS"/>
    <n v="1488"/>
    <n v="2976"/>
    <x v="3"/>
    <s v="C2"/>
    <m/>
    <m/>
  </r>
  <r>
    <n v="90"/>
    <n v="999893014336"/>
    <s v="1000428205A"/>
    <s v="OIL FILTER "/>
    <n v="1"/>
    <n v="1"/>
    <s v="NOS"/>
    <n v="1488"/>
    <n v="1488"/>
    <x v="3"/>
    <s v="C2"/>
    <m/>
    <m/>
  </r>
  <r>
    <n v="91"/>
    <m/>
    <s v="1000964807A"/>
    <s v="FUEL FILTER"/>
    <n v="2"/>
    <n v="2"/>
    <s v="NOS"/>
    <m/>
    <n v="0"/>
    <x v="3"/>
    <s v="C2"/>
    <m/>
    <m/>
  </r>
  <r>
    <n v="92"/>
    <m/>
    <s v="1000422382A"/>
    <s v="FUEL FILTER"/>
    <n v="2"/>
    <n v="2"/>
    <s v="NOS"/>
    <m/>
    <n v="0"/>
    <x v="3"/>
    <s v="C2"/>
    <m/>
    <m/>
  </r>
  <r>
    <n v="93"/>
    <n v="401618070048"/>
    <s v="151501000024B005"/>
    <s v="DIESEL FILTER CORE "/>
    <n v="5"/>
    <n v="5"/>
    <s v="NOS"/>
    <n v="13583.85"/>
    <n v="67919.25"/>
    <x v="3"/>
    <s v="C2"/>
    <m/>
    <m/>
  </r>
  <r>
    <n v="94"/>
    <n v="999893015254"/>
    <s v="QZJ005649198"/>
    <s v="BOOM TAIL SIDE"/>
    <n v="2"/>
    <n v="2"/>
    <s v="NOS"/>
    <n v="1297.95"/>
    <n v="2595.9"/>
    <x v="3"/>
    <s v="C4"/>
    <m/>
    <m/>
  </r>
  <r>
    <n v="95"/>
    <n v="999893015254"/>
    <n v="13447295"/>
    <s v="BOOM TAIL LOWER"/>
    <n v="2"/>
    <n v="2"/>
    <s v="NOS"/>
    <n v="1680.45"/>
    <n v="3360.9"/>
    <x v="3"/>
    <s v="C4"/>
    <m/>
    <m/>
  </r>
  <r>
    <n v="96"/>
    <n v="999893015260"/>
    <s v="QZJ0056499105"/>
    <s v="REAR UNDER SLIDE BLOCK"/>
    <n v="10"/>
    <n v="10"/>
    <s v="NOS"/>
    <n v="3921.9"/>
    <n v="39219"/>
    <x v="3"/>
    <s v="C4"/>
    <m/>
    <m/>
  </r>
  <r>
    <n v="97"/>
    <n v="999893015256"/>
    <s v="QZJ004695613"/>
    <s v="SIDE BLOCK"/>
    <n v="2"/>
    <n v="2"/>
    <s v="NOS"/>
    <n v="5737.5"/>
    <n v="11475"/>
    <x v="3"/>
    <s v="C4"/>
    <m/>
    <m/>
  </r>
  <r>
    <n v="98"/>
    <n v="999893015252"/>
    <n v="13134661"/>
    <s v="SLIDING BLOCK ASSY"/>
    <n v="6"/>
    <n v="6"/>
    <s v="NOS"/>
    <n v="4041.75"/>
    <n v="24250.5"/>
    <x v="3"/>
    <s v="C4"/>
    <m/>
    <m/>
  </r>
  <r>
    <n v="99"/>
    <n v="999893015246"/>
    <s v="QZJ005673228"/>
    <s v="BOOM HEAD SIDE "/>
    <n v="28"/>
    <n v="28"/>
    <s v="NOS"/>
    <n v="3791.85"/>
    <n v="106171.8"/>
    <x v="3"/>
    <s v="C4"/>
    <m/>
    <m/>
  </r>
  <r>
    <n v="100"/>
    <n v="999893015270"/>
    <n v="14275556"/>
    <s v="BOOM TILT SIDE"/>
    <n v="1"/>
    <n v="1"/>
    <s v="NOS"/>
    <n v="1167.9000000000001"/>
    <n v="1167.9000000000001"/>
    <x v="3"/>
    <s v="C4"/>
    <m/>
    <m/>
  </r>
  <r>
    <n v="101"/>
    <n v="999893015244"/>
    <s v="QZJ007015951"/>
    <s v="RIGHT  PORT UPPER"/>
    <n v="6"/>
    <n v="6"/>
    <s v="NOS"/>
    <n v="8930.1"/>
    <n v="53580.600000000006"/>
    <x v="3"/>
    <s v="C5"/>
    <m/>
    <m/>
  </r>
  <r>
    <n v="102"/>
    <n v="999893015245"/>
    <s v="QZJ007019051"/>
    <s v="LEFT PORT UPPER"/>
    <n v="7"/>
    <n v="7"/>
    <s v="NOS"/>
    <n v="8930.1"/>
    <n v="62510.700000000004"/>
    <x v="3"/>
    <s v="C5"/>
    <m/>
    <m/>
  </r>
  <r>
    <n v="103"/>
    <n v="999893015272"/>
    <s v="QZJ005220889"/>
    <s v="QZJ005220889"/>
    <n v="1"/>
    <n v="1"/>
    <s v="NOS"/>
    <n v="18005.55"/>
    <n v="18005.55"/>
    <x v="3"/>
    <s v="GROUND"/>
    <m/>
    <m/>
  </r>
  <r>
    <n v="104"/>
    <n v="999893015265"/>
    <n v="13128330"/>
    <s v="LOWER SLIDER"/>
    <n v="1"/>
    <n v="1"/>
    <s v="NOS"/>
    <n v="18010.650000000001"/>
    <n v="18010.650000000001"/>
    <x v="3"/>
    <s v="GROUND"/>
    <m/>
    <m/>
  </r>
  <r>
    <n v="105"/>
    <n v="999893015251"/>
    <n v="13128003"/>
    <s v="LOWER SLIDER"/>
    <n v="1"/>
    <n v="1"/>
    <s v="NOS"/>
    <n v="19576.349999999999"/>
    <n v="19576.349999999999"/>
    <x v="3"/>
    <s v="GROUND"/>
    <m/>
    <m/>
  </r>
  <r>
    <n v="106"/>
    <m/>
    <n v="13132673"/>
    <s v="LOWER SLIDER"/>
    <n v="1"/>
    <n v="1"/>
    <s v="NOS"/>
    <n v="13991.85"/>
    <n v="13991.85"/>
    <x v="3"/>
    <s v="GROUND"/>
    <m/>
    <m/>
  </r>
  <r>
    <n v="107"/>
    <n v="999893015266"/>
    <n v="13128275"/>
    <s v="LEFT SIDE"/>
    <n v="1"/>
    <n v="1"/>
    <s v="NOS"/>
    <n v="13349.25"/>
    <n v="13349.25"/>
    <x v="3"/>
    <s v="GROUND"/>
    <m/>
    <m/>
  </r>
  <r>
    <n v="108"/>
    <n v="999893015248"/>
    <n v="13128130"/>
    <s v="LOWER SLIDER"/>
    <n v="1"/>
    <n v="1"/>
    <s v="NOS"/>
    <n v="17776.05"/>
    <n v="17776.05"/>
    <x v="3"/>
    <s v="GROUND"/>
    <m/>
    <m/>
  </r>
  <r>
    <n v="109"/>
    <n v="999893015247"/>
    <n v="13128127"/>
    <s v="LEFT SIDE"/>
    <n v="1"/>
    <n v="1"/>
    <s v="NOS"/>
    <n v="15544.8"/>
    <n v="15544.8"/>
    <x v="3"/>
    <s v="GROUND"/>
    <m/>
    <m/>
  </r>
  <r>
    <n v="110"/>
    <n v="999893015250"/>
    <n v="13128005"/>
    <s v="LOWER RIGHT"/>
    <n v="1"/>
    <n v="1"/>
    <s v="NOS"/>
    <n v="14802.75"/>
    <n v="14802.75"/>
    <x v="3"/>
    <s v="GROUND"/>
    <m/>
    <m/>
  </r>
  <r>
    <n v="111"/>
    <n v="999893015257"/>
    <n v="13128177"/>
    <s v="LOWER RIGHT"/>
    <n v="1"/>
    <n v="1"/>
    <s v="NOS"/>
    <n v="14963.4"/>
    <n v="14963.4"/>
    <x v="3"/>
    <s v="GROUND"/>
    <m/>
    <m/>
  </r>
  <r>
    <n v="112"/>
    <m/>
    <n v="13128999"/>
    <s v="LOWER SLIDER"/>
    <n v="1"/>
    <n v="1"/>
    <s v="NOS"/>
    <m/>
    <n v="0"/>
    <x v="3"/>
    <s v="GROUND"/>
    <m/>
    <m/>
  </r>
  <r>
    <n v="113"/>
    <n v="999893015259"/>
    <n v="13128173"/>
    <s v="LEFT LOWER"/>
    <n v="1"/>
    <n v="1"/>
    <s v="NOS"/>
    <n v="14017.35"/>
    <n v="14017.35"/>
    <x v="3"/>
    <s v="GROUND"/>
    <m/>
    <m/>
  </r>
  <r>
    <n v="114"/>
    <n v="999893015263"/>
    <n v="13132668"/>
    <s v="RIGHT SIDE"/>
    <n v="1"/>
    <n v="1"/>
    <s v="NOS"/>
    <n v="13991.85"/>
    <n v="13991.85"/>
    <x v="3"/>
    <s v="GROUND"/>
    <m/>
    <m/>
  </r>
  <r>
    <n v="115"/>
    <n v="999893015268"/>
    <n v="13183495"/>
    <s v="LOWER SLIDER"/>
    <n v="1"/>
    <n v="1"/>
    <s v="NOS"/>
    <n v="16674.45"/>
    <n v="16674.45"/>
    <x v="3"/>
    <s v="GROUND"/>
    <m/>
    <m/>
  </r>
  <r>
    <n v="116"/>
    <n v="999893015249"/>
    <n v="13128131"/>
    <s v="RIGHT SIDE"/>
    <n v="1"/>
    <n v="1"/>
    <s v="NOS"/>
    <n v="15544.8"/>
    <n v="15544.8"/>
    <x v="3"/>
    <s v="GROUND"/>
    <m/>
    <m/>
  </r>
  <r>
    <n v="117"/>
    <n v="999893015269"/>
    <n v="13183496"/>
    <s v="LOWER RIGHT"/>
    <n v="1"/>
    <n v="1"/>
    <s v="NOS"/>
    <n v="13183.5"/>
    <n v="13183.5"/>
    <x v="3"/>
    <s v="GROUND"/>
    <m/>
    <m/>
  </r>
  <r>
    <n v="118"/>
    <n v="999893015261"/>
    <n v="13132672"/>
    <s v="LEFT SIDE LOWER"/>
    <n v="1"/>
    <n v="1"/>
    <s v="NOS"/>
    <n v="13991.85"/>
    <n v="13991.85"/>
    <x v="3"/>
    <s v="GROUND"/>
    <m/>
    <m/>
  </r>
  <r>
    <n v="119"/>
    <n v="999893015267"/>
    <n v="13183501"/>
    <s v="LEFT SIDE"/>
    <n v="1"/>
    <n v="1"/>
    <s v="NOS"/>
    <n v="13183.5"/>
    <n v="13183.5"/>
    <x v="3"/>
    <s v="GROUND"/>
    <m/>
    <m/>
  </r>
  <r>
    <n v="120"/>
    <n v="999893015264"/>
    <n v="13128352"/>
    <s v="RIGHT SIDE"/>
    <n v="1"/>
    <n v="1"/>
    <s v="NOS"/>
    <n v="12385.35"/>
    <n v="12385.35"/>
    <x v="3"/>
    <s v="GROUND"/>
    <m/>
    <m/>
  </r>
  <r>
    <n v="121"/>
    <n v="999893015271"/>
    <s v="SQZJ005220885"/>
    <s v="MOUTH LOWER"/>
    <n v="2"/>
    <n v="2"/>
    <s v="NOS"/>
    <n v="13150.35"/>
    <n v="26300.7"/>
    <x v="3"/>
    <s v="GROUND"/>
    <m/>
    <m/>
  </r>
  <r>
    <n v="122"/>
    <m/>
    <n v="12915035153"/>
    <s v="OIL FILTER "/>
    <n v="3"/>
    <n v="3"/>
    <s v="NOS"/>
    <m/>
    <n v="0"/>
    <x v="4"/>
    <s v="C3"/>
    <m/>
    <m/>
  </r>
  <r>
    <n v="123"/>
    <m/>
    <s v="P8227623"/>
    <s v="AIR FILTER"/>
    <n v="3"/>
    <n v="3"/>
    <s v="NOS"/>
    <m/>
    <n v="0"/>
    <x v="4"/>
    <s v="C3"/>
    <m/>
    <m/>
  </r>
  <r>
    <n v="124"/>
    <n v="401615000499"/>
    <s v="P829332"/>
    <s v="AIR FILTER(INNER)"/>
    <n v="3"/>
    <n v="3"/>
    <s v="NOS"/>
    <n v="16360"/>
    <n v="49080"/>
    <x v="4"/>
    <s v="C3"/>
    <m/>
    <m/>
  </r>
  <r>
    <n v="125"/>
    <n v="401615000500"/>
    <s v="LH0110D010BN/HC"/>
    <s v="FUEL FILTER"/>
    <n v="3"/>
    <n v="3"/>
    <s v="NOS"/>
    <n v="10411"/>
    <n v="31233"/>
    <x v="4"/>
    <s v="C3"/>
    <m/>
    <m/>
  </r>
  <r>
    <n v="126"/>
    <m/>
    <n v="1290055800"/>
    <s v="FUEL FILTER"/>
    <n v="3"/>
    <n v="3"/>
    <s v="NOS"/>
    <m/>
    <n v="0"/>
    <x v="4"/>
    <s v="C3"/>
    <m/>
    <m/>
  </r>
  <r>
    <n v="127"/>
    <m/>
    <s v="F0010051"/>
    <s v="AIR FILTER"/>
    <n v="3"/>
    <n v="3"/>
    <s v="NOS"/>
    <m/>
    <n v="0"/>
    <x v="5"/>
    <s v="B4"/>
    <m/>
    <m/>
  </r>
  <r>
    <n v="128"/>
    <m/>
    <s v="F0010050"/>
    <s v="AIR FILTER INER"/>
    <n v="3"/>
    <n v="3"/>
    <s v="NOS"/>
    <m/>
    <n v="0"/>
    <x v="5"/>
    <s v="B4"/>
    <m/>
    <m/>
  </r>
  <r>
    <n v="129"/>
    <m/>
    <s v="M0030002"/>
    <s v="FILTER ELEMENT"/>
    <n v="2"/>
    <n v="2"/>
    <s v="NOS"/>
    <m/>
    <n v="0"/>
    <x v="5"/>
    <s v="B4"/>
    <m/>
    <m/>
  </r>
  <r>
    <n v="130"/>
    <m/>
    <s v="M0050058"/>
    <s v="PRE FUEL FILTER"/>
    <n v="4"/>
    <n v="4"/>
    <s v="NOS"/>
    <m/>
    <n v="0"/>
    <x v="5"/>
    <s v="B4"/>
    <m/>
    <m/>
  </r>
  <r>
    <n v="131"/>
    <m/>
    <s v="M0050059"/>
    <s v="FUEL FILTER PCV"/>
    <n v="3"/>
    <n v="3"/>
    <s v="NOS"/>
    <m/>
    <n v="0"/>
    <x v="5"/>
    <s v="B4"/>
    <m/>
    <m/>
  </r>
  <r>
    <n v="132"/>
    <m/>
    <s v="M0050061"/>
    <s v="FILTER KIT"/>
    <n v="3"/>
    <n v="3"/>
    <s v="NOS"/>
    <m/>
    <n v="0"/>
    <x v="5"/>
    <s v="B5"/>
    <m/>
    <m/>
  </r>
  <r>
    <n v="133"/>
    <m/>
    <s v="M0050051"/>
    <s v="MAI FUEL FILTER"/>
    <n v="1"/>
    <n v="1"/>
    <s v="NOS"/>
    <m/>
    <n v="0"/>
    <x v="5"/>
    <s v="B5"/>
    <m/>
    <m/>
  </r>
  <r>
    <n v="134"/>
    <m/>
    <s v="M0050028"/>
    <s v="OIL FILTER "/>
    <n v="1"/>
    <n v="1"/>
    <s v="NOS"/>
    <m/>
    <n v="0"/>
    <x v="5"/>
    <s v="B5"/>
    <m/>
    <m/>
  </r>
  <r>
    <n v="135"/>
    <m/>
    <s v="F4000700"/>
    <s v="DIESEL FILTER"/>
    <n v="1"/>
    <n v="1"/>
    <s v="NOS"/>
    <m/>
    <n v="0"/>
    <x v="5"/>
    <s v="B5"/>
    <m/>
    <m/>
  </r>
  <r>
    <n v="136"/>
    <m/>
    <s v="M0050060"/>
    <s v="O RING"/>
    <n v="4"/>
    <n v="4"/>
    <s v="NOS"/>
    <m/>
    <n v="0"/>
    <x v="5"/>
    <s v="B5"/>
    <m/>
    <m/>
  </r>
  <r>
    <n v="137"/>
    <m/>
    <s v="M0020001"/>
    <s v="UNIVERSAL JOINT"/>
    <n v="2"/>
    <n v="2"/>
    <s v="NOS"/>
    <m/>
    <n v="0"/>
    <x v="5"/>
    <s v="B5"/>
    <m/>
    <m/>
  </r>
  <r>
    <n v="138"/>
    <n v="401425120005"/>
    <s v="WL10160C6386"/>
    <s v="BREATHER "/>
    <n v="1"/>
    <n v="1"/>
    <s v="NOS"/>
    <n v="4833"/>
    <n v="4833"/>
    <x v="6"/>
    <s v="A5"/>
    <m/>
    <m/>
  </r>
  <r>
    <n v="139"/>
    <n v="401618070004"/>
    <s v="A0010559"/>
    <s v="FILTER ELEMNT"/>
    <n v="2"/>
    <n v="2"/>
    <s v="NOS"/>
    <n v="1592.82"/>
    <n v="3185.64"/>
    <x v="6"/>
    <s v="A5"/>
    <m/>
    <m/>
  </r>
  <r>
    <n v="140"/>
    <m/>
    <s v="E2D06860C1707"/>
    <s v="FNR SHIFTER"/>
    <n v="1"/>
    <n v="1"/>
    <s v="NOS"/>
    <m/>
    <n v="0"/>
    <x v="6"/>
    <s v="A5"/>
    <m/>
    <m/>
  </r>
  <r>
    <n v="141"/>
    <m/>
    <s v="A0020114"/>
    <s v="MAIN FUEL FILTER"/>
    <n v="2"/>
    <n v="2"/>
    <s v="NOS"/>
    <m/>
    <n v="0"/>
    <x v="6"/>
    <s v="A5"/>
    <m/>
    <m/>
  </r>
  <r>
    <n v="142"/>
    <m/>
    <s v="P550909"/>
    <s v="OIL FILTER"/>
    <n v="1"/>
    <n v="1"/>
    <s v="NOS"/>
    <m/>
    <n v="0"/>
    <x v="6"/>
    <s v="A5"/>
    <m/>
    <m/>
  </r>
  <r>
    <n v="143"/>
    <n v="391223150196"/>
    <s v="E2D0850C0782"/>
    <s v="RELAY"/>
    <n v="1"/>
    <n v="1"/>
    <s v="NOS"/>
    <n v="1866.51"/>
    <n v="1866.51"/>
    <x v="6"/>
    <s v="A5"/>
    <m/>
    <m/>
  </r>
  <r>
    <n v="144"/>
    <m/>
    <s v="E2D0830C1229"/>
    <s v="FUEL LEVEL SENSOR"/>
    <n v="1"/>
    <n v="1"/>
    <s v="NOS"/>
    <m/>
    <n v="0"/>
    <x v="6"/>
    <s v="A5"/>
    <m/>
    <m/>
  </r>
  <r>
    <n v="145"/>
    <m/>
    <m/>
    <s v="HYDRAULIC TANK CAP"/>
    <n v="1"/>
    <n v="1"/>
    <s v="NOS"/>
    <m/>
    <n v="0"/>
    <x v="6"/>
    <s v="A5"/>
    <m/>
    <m/>
  </r>
  <r>
    <n v="146"/>
    <s v="22101528AR63"/>
    <s v="WL10230C3101"/>
    <s v="SHAFT"/>
    <n v="1"/>
    <n v="1"/>
    <s v="NOS"/>
    <n v="18045"/>
    <n v="18045"/>
    <x v="6"/>
    <s v="A5"/>
    <m/>
    <m/>
  </r>
  <r>
    <n v="147"/>
    <m/>
    <n v="6001852500"/>
    <s v="ELEMENT ASSY"/>
    <n v="1"/>
    <n v="1"/>
    <s v="NOS"/>
    <m/>
    <n v="0"/>
    <x v="7"/>
    <s v="A4"/>
    <m/>
    <m/>
  </r>
  <r>
    <n v="148"/>
    <m/>
    <n v="4236045461"/>
    <s v="ELEMENT"/>
    <n v="1"/>
    <n v="1"/>
    <s v="NOS"/>
    <m/>
    <n v="0"/>
    <x v="7"/>
    <s v="A4"/>
    <m/>
    <m/>
  </r>
  <r>
    <n v="149"/>
    <m/>
    <n v="6003193750"/>
    <s v="FUEL CORTAGE"/>
    <n v="1"/>
    <n v="1"/>
    <s v="NOS"/>
    <m/>
    <n v="0"/>
    <x v="7"/>
    <s v="A4"/>
    <m/>
    <m/>
  </r>
  <r>
    <n v="150"/>
    <m/>
    <n v="6736515142"/>
    <s v="OIL FILTER "/>
    <n v="1"/>
    <n v="1"/>
    <s v="NOS"/>
    <m/>
    <n v="0"/>
    <x v="7"/>
    <s v="A4"/>
    <m/>
    <m/>
  </r>
  <r>
    <n v="151"/>
    <n v="401615130160"/>
    <n v="6003193610"/>
    <s v="FUEL FILTER"/>
    <n v="4"/>
    <n v="4"/>
    <s v="NOS"/>
    <n v="7966.25"/>
    <n v="31865"/>
    <x v="7"/>
    <s v="A4"/>
    <m/>
    <m/>
  </r>
  <r>
    <n v="152"/>
    <m/>
    <n v="7140728713"/>
    <s v="OIL FILTER "/>
    <n v="1"/>
    <n v="1"/>
    <s v="NOS"/>
    <m/>
    <n v="0"/>
    <x v="7"/>
    <s v="A4"/>
    <m/>
    <m/>
  </r>
  <r>
    <n v="153"/>
    <m/>
    <n v="703000252"/>
    <s v="BREATHER"/>
    <n v="4"/>
    <n v="4"/>
    <s v="NOS"/>
    <m/>
    <n v="0"/>
    <x v="7"/>
    <s v="A4"/>
    <m/>
    <m/>
  </r>
  <r>
    <n v="154"/>
    <n v="201225120089"/>
    <s v="23H7012211"/>
    <s v="GUIDE"/>
    <n v="2"/>
    <n v="2"/>
    <s v="NOS"/>
    <n v="8815.4699999999993"/>
    <n v="17630.939999999999"/>
    <x v="7"/>
    <s v="A4"/>
    <m/>
    <m/>
  </r>
  <r>
    <n v="155"/>
    <m/>
    <n v="304019000"/>
    <s v="OIL FILTER"/>
    <n v="14"/>
    <n v="14"/>
    <s v="NOS"/>
    <m/>
    <n v="0"/>
    <x v="8"/>
    <s v="D2"/>
    <m/>
    <m/>
  </r>
  <r>
    <n v="156"/>
    <m/>
    <n v="392242000"/>
    <s v="FUEL FILTER "/>
    <n v="1"/>
    <n v="1"/>
    <s v="NOS"/>
    <m/>
    <n v="0"/>
    <x v="8"/>
    <s v="D2"/>
    <m/>
    <m/>
  </r>
  <r>
    <n v="157"/>
    <n v="261116019967"/>
    <s v="D831903000"/>
    <s v="AIR CLEANER"/>
    <n v="2"/>
    <n v="2"/>
    <s v="NOS"/>
    <m/>
    <n v="0"/>
    <x v="8"/>
    <s v="D2"/>
    <m/>
    <m/>
  </r>
  <r>
    <n v="158"/>
    <m/>
    <n v="4811704000"/>
    <s v="FUEL FILTER "/>
    <n v="1"/>
    <n v="1"/>
    <s v="NOS"/>
    <m/>
    <n v="0"/>
    <x v="8"/>
    <s v="D2"/>
    <m/>
    <m/>
  </r>
  <r>
    <n v="159"/>
    <m/>
    <s v="E26540408"/>
    <s v="OIL LUBE FILTER`"/>
    <n v="1"/>
    <n v="1"/>
    <s v="NOS"/>
    <m/>
    <n v="0"/>
    <x v="8"/>
    <s v="D2"/>
    <m/>
    <m/>
  </r>
  <r>
    <n v="160"/>
    <m/>
    <n v="931590044100"/>
    <s v="OIL FITER"/>
    <n v="3"/>
    <n v="3"/>
    <s v="NOS"/>
    <m/>
    <n v="0"/>
    <x v="9"/>
    <s v="D3"/>
    <m/>
    <m/>
  </r>
  <r>
    <n v="161"/>
    <s v="22101500DV16"/>
    <n v="931590044100"/>
    <s v="OIL FITER ELEMNT"/>
    <n v="1"/>
    <n v="1"/>
    <s v="NOS"/>
    <n v="537.67999999999995"/>
    <n v="537.67999999999995"/>
    <x v="9"/>
    <s v="D3"/>
    <m/>
    <m/>
  </r>
  <r>
    <n v="162"/>
    <m/>
    <n v="931590022000"/>
    <s v="MAIN FILTER KIT"/>
    <n v="2"/>
    <n v="2"/>
    <s v="NOS"/>
    <m/>
    <n v="0"/>
    <x v="9"/>
    <s v="D3"/>
    <m/>
    <m/>
  </r>
  <r>
    <n v="163"/>
    <s v="24101600DH93"/>
    <n v="931590014700"/>
    <s v="FUEL WATER SAPERATOR"/>
    <n v="4"/>
    <n v="4"/>
    <s v="NOS"/>
    <n v="1099.8"/>
    <n v="4399.2"/>
    <x v="9"/>
    <s v="D3"/>
    <m/>
    <m/>
  </r>
  <r>
    <n v="164"/>
    <m/>
    <n v="922100000200"/>
    <s v="HYDRAULIC KILTER"/>
    <n v="7"/>
    <n v="7"/>
    <s v="NOS"/>
    <m/>
    <n v="0"/>
    <x v="9"/>
    <s v="D3"/>
    <m/>
    <m/>
  </r>
  <r>
    <n v="165"/>
    <s v="24101600AN89"/>
    <s v="ABH0F0400A00"/>
    <s v="FILTER ELEMNT"/>
    <n v="2"/>
    <n v="2"/>
    <s v="NOS"/>
    <n v="212.29"/>
    <n v="424.58"/>
    <x v="9"/>
    <s v="D3"/>
    <m/>
    <m/>
  </r>
  <r>
    <n v="166"/>
    <s v="24101600DH94"/>
    <n v="931590014500"/>
    <s v="FUEL STANDERD"/>
    <n v="4"/>
    <n v="4"/>
    <s v="NOS"/>
    <n v="134.41999999999999"/>
    <n v="537.67999999999995"/>
    <x v="9"/>
    <s v="D3"/>
    <m/>
    <m/>
  </r>
  <r>
    <n v="167"/>
    <s v="24101600CN87"/>
    <n v="101247101014"/>
    <s v="HYDRAULIC PUMP(T6C014)"/>
    <n v="1"/>
    <n v="1"/>
    <s v="NOS"/>
    <m/>
    <n v="0"/>
    <x v="9"/>
    <s v="D3"/>
    <m/>
    <m/>
  </r>
  <r>
    <n v="168"/>
    <s v="24101600DZ73"/>
    <n v="929200002100"/>
    <s v="CONTROL BLN VALVE"/>
    <n v="4"/>
    <n v="4"/>
    <s v="NOS"/>
    <m/>
    <n v="0"/>
    <x v="9"/>
    <s v="D3"/>
    <m/>
    <m/>
  </r>
  <r>
    <n v="169"/>
    <s v="24101600CX10"/>
    <n v="927000001600"/>
    <s v="RELAY VALVE"/>
    <n v="2"/>
    <n v="2"/>
    <s v="NOS"/>
    <m/>
    <n v="0"/>
    <x v="9"/>
    <s v="D3"/>
    <m/>
    <m/>
  </r>
  <r>
    <n v="170"/>
    <s v="22101500DV16"/>
    <n v="931590044300"/>
    <s v="UREA LEVEL SENSOR"/>
    <n v="2"/>
    <n v="2"/>
    <s v="NOS"/>
    <n v="537.67999999999995"/>
    <n v="1075.3599999999999"/>
    <x v="9"/>
    <s v="D3"/>
    <m/>
    <m/>
  </r>
  <r>
    <n v="171"/>
    <n v="314015030131"/>
    <n v="931590021600"/>
    <s v="O RING (OIL FILTER)"/>
    <n v="6"/>
    <n v="6"/>
    <s v="NOS"/>
    <m/>
    <n v="0"/>
    <x v="9"/>
    <s v="D3"/>
    <m/>
    <m/>
  </r>
  <r>
    <n v="172"/>
    <m/>
    <n v="931590044200"/>
    <s v="O RING (OIL FILTER)"/>
    <n v="3"/>
    <n v="3"/>
    <s v="NOS"/>
    <n v="537.67999999999995"/>
    <n v="1613.04"/>
    <x v="9"/>
    <s v="D3"/>
    <m/>
    <m/>
  </r>
  <r>
    <n v="173"/>
    <n v="314015030133"/>
    <n v="931590021700"/>
    <s v="O RING"/>
    <n v="6"/>
    <n v="6"/>
    <s v="NOS"/>
    <m/>
    <n v="0"/>
    <x v="9"/>
    <s v="D3"/>
    <m/>
    <m/>
  </r>
  <r>
    <n v="174"/>
    <s v="22101500DV16"/>
    <n v="931590044400"/>
    <s v="UREA TANK FILTER"/>
    <n v="1"/>
    <n v="1"/>
    <s v="NOS"/>
    <m/>
    <n v="0"/>
    <x v="9"/>
    <s v="D3"/>
    <m/>
    <m/>
  </r>
  <r>
    <n v="175"/>
    <s v="24101600K529"/>
    <n v="101086100100"/>
    <s v="PROPELLER SHAFT"/>
    <n v="4"/>
    <n v="4"/>
    <s v="NOS"/>
    <m/>
    <n v="0"/>
    <x v="9"/>
    <s v="D4"/>
    <m/>
    <m/>
  </r>
  <r>
    <n v="176"/>
    <s v="24101600CZ85"/>
    <n v="101393300200"/>
    <s v="LEAF SPRING (BKT)"/>
    <n v="2"/>
    <n v="2"/>
    <s v="NOS"/>
    <m/>
    <n v="0"/>
    <x v="9"/>
    <s v="D4"/>
    <m/>
    <m/>
  </r>
  <r>
    <n v="177"/>
    <m/>
    <n v="101393300300"/>
    <s v="U TUBE ASSY UPPER"/>
    <n v="1"/>
    <n v="1"/>
    <s v="NOS"/>
    <m/>
    <n v="0"/>
    <x v="9"/>
    <s v="D4"/>
    <m/>
    <m/>
  </r>
  <r>
    <n v="178"/>
    <s v="24101600J423"/>
    <n v="101393400500"/>
    <s v="DUAL BRAKE"/>
    <n v="4"/>
    <n v="4"/>
    <s v="NOS"/>
    <m/>
    <n v="0"/>
    <x v="9"/>
    <s v="D4"/>
    <m/>
    <m/>
  </r>
  <r>
    <n v="179"/>
    <m/>
    <n v="955700000100"/>
    <s v="MASTER CYL"/>
    <n v="2"/>
    <n v="2"/>
    <s v="NOS"/>
    <m/>
    <n v="0"/>
    <x v="9"/>
    <s v="D4"/>
    <m/>
    <m/>
  </r>
  <r>
    <n v="180"/>
    <n v="241118000238"/>
    <n v="955910000800"/>
    <s v="SLAVE CYL"/>
    <n v="1"/>
    <n v="1"/>
    <s v="NOS"/>
    <n v="1850.6"/>
    <n v="1850.6"/>
    <x v="9"/>
    <s v="D4"/>
    <m/>
    <m/>
  </r>
  <r>
    <n v="181"/>
    <m/>
    <n v="101393400200"/>
    <s v="GRACHUWAD HAND"/>
    <n v="2"/>
    <n v="2"/>
    <s v="NOS"/>
    <m/>
    <n v="0"/>
    <x v="9"/>
    <s v="D4"/>
    <m/>
    <m/>
  </r>
  <r>
    <n v="182"/>
    <s v="24101600DF45"/>
    <n v="101026141100"/>
    <s v="IGNITION SWITCH"/>
    <n v="2"/>
    <n v="2"/>
    <s v="NOS"/>
    <m/>
    <n v="0"/>
    <x v="9"/>
    <s v="D4"/>
    <m/>
    <m/>
  </r>
  <r>
    <n v="183"/>
    <m/>
    <n v="10522428700"/>
    <s v="PULLY "/>
    <n v="2"/>
    <n v="2"/>
    <s v="NOS"/>
    <m/>
    <n v="0"/>
    <x v="9"/>
    <s v="D5"/>
    <m/>
    <m/>
  </r>
  <r>
    <n v="184"/>
    <s v="24101600DK96"/>
    <n v="933100000500"/>
    <s v="BALL BEARING "/>
    <n v="4"/>
    <n v="4"/>
    <s v="NOS"/>
    <m/>
    <n v="0"/>
    <x v="9"/>
    <s v="D5"/>
    <m/>
    <m/>
  </r>
  <r>
    <n v="185"/>
    <s v="24101600CO10"/>
    <n v="933500001100"/>
    <s v="THRUST BALL BEARING"/>
    <n v="3"/>
    <n v="3"/>
    <s v="NOS"/>
    <m/>
    <n v="0"/>
    <x v="9"/>
    <s v="D5"/>
    <m/>
    <m/>
  </r>
  <r>
    <n v="186"/>
    <m/>
    <n v="101393300600"/>
    <s v="U TUBE"/>
    <n v="2"/>
    <n v="2"/>
    <s v="NOS"/>
    <m/>
    <n v="0"/>
    <x v="9"/>
    <s v="D5"/>
    <m/>
    <m/>
  </r>
  <r>
    <n v="187"/>
    <m/>
    <n v="101303300200"/>
    <s v="U TUBE"/>
    <n v="2"/>
    <n v="2"/>
    <s v="NOS"/>
    <m/>
    <n v="0"/>
    <x v="9"/>
    <s v="D5"/>
    <m/>
    <m/>
  </r>
  <r>
    <n v="188"/>
    <s v="24101600CV91"/>
    <n v="101521426500"/>
    <s v="WIRE ROPE"/>
    <n v="2"/>
    <n v="2"/>
    <s v="NOS"/>
    <m/>
    <n v="0"/>
    <x v="9"/>
    <s v="D5"/>
    <m/>
    <m/>
  </r>
  <r>
    <n v="189"/>
    <m/>
    <s v="BH-200P1A11Y10"/>
    <s v="PUMP"/>
    <n v="1"/>
    <n v="1"/>
    <s v="NOS"/>
    <m/>
    <n v="0"/>
    <x v="9"/>
    <s v="D5"/>
    <m/>
    <m/>
  </r>
  <r>
    <n v="190"/>
    <m/>
    <m/>
    <s v="WIRE ROPE"/>
    <n v="1"/>
    <n v="1"/>
    <s v="NOS"/>
    <m/>
    <n v="0"/>
    <x v="9"/>
    <s v="D6"/>
    <m/>
    <m/>
  </r>
  <r>
    <n v="191"/>
    <m/>
    <m/>
    <s v="BOOM PIN"/>
    <n v="2"/>
    <n v="2"/>
    <s v="NOS"/>
    <m/>
    <n v="0"/>
    <x v="9"/>
    <s v="D6"/>
    <m/>
    <m/>
  </r>
  <r>
    <n v="192"/>
    <m/>
    <n v="101381425000"/>
    <s v="LEAF SPRING "/>
    <n v="2"/>
    <n v="2"/>
    <s v="NOS"/>
    <m/>
    <n v="0"/>
    <x v="9"/>
    <s v="D6"/>
    <m/>
    <m/>
  </r>
  <r>
    <n v="193"/>
    <m/>
    <n v="105398086"/>
    <m/>
    <n v="3"/>
    <n v="3"/>
    <s v="NOS"/>
    <m/>
    <n v="0"/>
    <x v="10"/>
    <s v="B6"/>
    <m/>
    <m/>
  </r>
  <r>
    <n v="194"/>
    <m/>
    <s v="F3083306"/>
    <m/>
    <n v="1"/>
    <n v="1"/>
    <s v="NOS"/>
    <m/>
    <n v="0"/>
    <x v="10"/>
    <s v="B6"/>
    <m/>
    <m/>
  </r>
  <r>
    <n v="195"/>
    <m/>
    <n v="706301210"/>
    <m/>
    <n v="1"/>
    <n v="1"/>
    <s v="NOS"/>
    <m/>
    <n v="0"/>
    <x v="10"/>
    <s v="B6"/>
    <m/>
    <m/>
  </r>
  <r>
    <n v="196"/>
    <s v="22101500FD41"/>
    <s v="31Z5180743"/>
    <s v="OIL FILTER"/>
    <n v="3"/>
    <n v="3"/>
    <s v="NOS"/>
    <n v="2139"/>
    <n v="6417"/>
    <x v="10"/>
    <s v="B6"/>
    <m/>
    <m/>
  </r>
  <r>
    <n v="197"/>
    <n v="401615130036"/>
    <s v="51Z7185908"/>
    <s v="FUEL FILTER"/>
    <n v="2"/>
    <n v="2"/>
    <s v="NOS"/>
    <m/>
    <n v="0"/>
    <x v="10"/>
    <s v="B6"/>
    <m/>
    <m/>
  </r>
  <r>
    <n v="198"/>
    <s v="26101700AS68"/>
    <s v="51Z7185884"/>
    <s v="FUEL FILTER PRE "/>
    <n v="1"/>
    <n v="1"/>
    <s v="NOS"/>
    <n v="9174"/>
    <n v="9174"/>
    <x v="10"/>
    <s v="B6"/>
    <m/>
    <m/>
  </r>
  <r>
    <n v="199"/>
    <m/>
    <s v="MX300412021933"/>
    <s v="V BELT "/>
    <n v="2"/>
    <n v="2"/>
    <s v="NOS"/>
    <m/>
    <n v="0"/>
    <x v="10"/>
    <s v="B6"/>
    <m/>
    <m/>
  </r>
  <r>
    <n v="200"/>
    <m/>
    <n v="3363083371"/>
    <s v="STUTZ RING"/>
    <n v="1"/>
    <n v="1"/>
    <s v="PACKET"/>
    <m/>
    <n v="0"/>
    <x v="10"/>
    <s v="B6"/>
    <m/>
    <m/>
  </r>
  <r>
    <n v="201"/>
    <m/>
    <s v="6211K69800"/>
    <s v="GASKET KI"/>
    <n v="1"/>
    <n v="1"/>
    <s v="PACKET"/>
    <m/>
    <n v="0"/>
    <x v="10"/>
    <s v="B6"/>
    <m/>
    <m/>
  </r>
  <r>
    <n v="202"/>
    <s v="22101500FF73"/>
    <s v="41Z5181088"/>
    <s v="O RING (FUEL FILTER)"/>
    <n v="3"/>
    <n v="3"/>
    <s v="NOS"/>
    <n v="240"/>
    <n v="720"/>
    <x v="10"/>
    <s v="B6"/>
    <m/>
    <m/>
  </r>
  <r>
    <n v="203"/>
    <n v="201017119826"/>
    <n v="3360314375"/>
    <s v="O RING"/>
    <n v="1"/>
    <n v="1"/>
    <s v="PACKET"/>
    <m/>
    <n v="0"/>
    <x v="10"/>
    <s v="B6"/>
    <m/>
    <m/>
  </r>
  <r>
    <n v="204"/>
    <s v="25101601AJ50"/>
    <s v="41Z9900131"/>
    <s v="WATER PUMP GASKET"/>
    <n v="3"/>
    <n v="3"/>
    <s v="PACKET"/>
    <m/>
    <n v="0"/>
    <x v="10"/>
    <s v="B6"/>
    <m/>
    <m/>
  </r>
  <r>
    <n v="205"/>
    <m/>
    <s v="985A591628"/>
    <s v="DESICCANT"/>
    <n v="1"/>
    <n v="1"/>
    <s v="NOS"/>
    <m/>
    <n v="0"/>
    <x v="10"/>
    <s v="B6"/>
    <m/>
    <m/>
  </r>
  <r>
    <n v="206"/>
    <s v="22101500FH89"/>
    <s v="41Z5181071"/>
    <s v="OIL FILTER( O RING)"/>
    <n v="1"/>
    <n v="1"/>
    <s v="NOS"/>
    <n v="178"/>
    <n v="178"/>
    <x v="10"/>
    <s v="B6"/>
    <m/>
    <m/>
  </r>
  <r>
    <n v="207"/>
    <s v="25101503A240"/>
    <n v="253415406302"/>
    <s v="V BELT"/>
    <n v="1"/>
    <n v="1"/>
    <s v="NOS"/>
    <n v="470.56"/>
    <n v="470.56"/>
    <x v="11"/>
    <s v="G-RACK"/>
    <m/>
    <m/>
  </r>
  <r>
    <n v="208"/>
    <s v="25101600AK91"/>
    <n v="570920156305"/>
    <s v="ALTERNATOR BELT"/>
    <n v="3"/>
    <n v="3"/>
    <s v="NOS"/>
    <m/>
    <n v="0"/>
    <x v="11"/>
    <s v="G-RACK"/>
    <m/>
    <m/>
  </r>
  <r>
    <n v="209"/>
    <n v="261017003477"/>
    <n v="412222584"/>
    <s v="BELT"/>
    <n v="3"/>
    <n v="3"/>
    <s v="NOS"/>
    <m/>
    <n v="0"/>
    <x v="11"/>
    <s v="G-RACK"/>
    <m/>
    <m/>
  </r>
  <r>
    <n v="210"/>
    <s v="26101400AH20"/>
    <s v="26101400AH20"/>
    <s v="VBELT"/>
    <n v="3"/>
    <n v="3"/>
    <s v="NOS"/>
    <n v="145.44999999999999"/>
    <n v="436.34999999999997"/>
    <x v="11"/>
    <s v="G-RACK"/>
    <m/>
    <m/>
  </r>
  <r>
    <n v="211"/>
    <s v="25101601I059"/>
    <n v="412222289"/>
    <s v="BELT"/>
    <n v="2"/>
    <n v="2"/>
    <s v="SET"/>
    <n v="10748"/>
    <n v="21496"/>
    <x v="10"/>
    <s v="G-RACK"/>
    <m/>
    <m/>
  </r>
  <r>
    <n v="212"/>
    <m/>
    <n v="10042023820"/>
    <s v="BELT"/>
    <n v="1"/>
    <n v="1"/>
    <s v="NOS"/>
    <m/>
    <n v="0"/>
    <x v="11"/>
    <s v="G-RACK"/>
    <m/>
    <m/>
  </r>
  <r>
    <n v="213"/>
    <m/>
    <s v="AX61X13X1550LT"/>
    <s v="BELT"/>
    <n v="2"/>
    <n v="2"/>
    <s v="NOS"/>
    <m/>
    <n v="0"/>
    <x v="11"/>
    <s v="G-RACK"/>
    <m/>
    <m/>
  </r>
  <r>
    <n v="214"/>
    <s v="26111801AG28"/>
    <s v="S12100070269"/>
    <s v="BELT"/>
    <n v="1"/>
    <n v="1"/>
    <s v="NOS"/>
    <m/>
    <n v="0"/>
    <x v="11"/>
    <s v="G-RACK"/>
    <m/>
    <m/>
  </r>
  <r>
    <n v="215"/>
    <m/>
    <s v="THROWWELD -D58"/>
    <s v="WELDING ROD SS-315"/>
    <n v="35"/>
    <n v="35"/>
    <s v="NOS"/>
    <m/>
    <n v="0"/>
    <x v="12"/>
    <s v="G6"/>
    <m/>
    <m/>
  </r>
  <r>
    <n v="216"/>
    <m/>
    <s v="XL-18"/>
    <s v="WELDING ROD 4mm"/>
    <n v="35"/>
    <n v="35"/>
    <s v="NOS"/>
    <m/>
    <n v="0"/>
    <x v="12"/>
    <s v="G6"/>
    <m/>
    <m/>
  </r>
  <r>
    <n v="217"/>
    <m/>
    <n v="7018"/>
    <s v="WELDING ROD 3.5"/>
    <n v="25"/>
    <n v="25"/>
    <s v="NOS"/>
    <m/>
    <n v="0"/>
    <x v="12"/>
    <s v="G6"/>
    <m/>
    <m/>
  </r>
  <r>
    <n v="218"/>
    <m/>
    <n v="7018"/>
    <s v="WELDING ROD 4MM"/>
    <n v="40"/>
    <n v="40"/>
    <s v="NOS"/>
    <m/>
    <n v="0"/>
    <x v="12"/>
    <s v="G6"/>
    <m/>
    <m/>
  </r>
  <r>
    <n v="219"/>
    <m/>
    <m/>
    <s v="DFFCET CUTTING ROD"/>
    <n v="90"/>
    <n v="90"/>
    <s v="NOS"/>
    <m/>
    <n v="0"/>
    <x v="12"/>
    <s v="G5"/>
    <m/>
    <m/>
  </r>
  <r>
    <n v="220"/>
    <m/>
    <n v="2608621839"/>
    <s v="FLAP DISC"/>
    <n v="73"/>
    <n v="73"/>
    <s v="NOS"/>
    <m/>
    <n v="0"/>
    <x v="12"/>
    <s v="G5"/>
    <m/>
    <m/>
  </r>
  <r>
    <n v="221"/>
    <m/>
    <n v="7025003232"/>
    <s v="CUTTING Disc"/>
    <n v="250"/>
    <n v="250"/>
    <s v="NOS"/>
    <m/>
    <n v="0"/>
    <x v="12"/>
    <s v="G5"/>
    <m/>
    <m/>
  </r>
  <r>
    <n v="222"/>
    <m/>
    <s v="A30TB"/>
    <s v="TYPE 41(DISC)"/>
    <n v="50"/>
    <n v="50"/>
    <s v="NOS"/>
    <m/>
    <n v="0"/>
    <x v="12"/>
    <s v="G5"/>
    <m/>
    <m/>
  </r>
  <r>
    <n v="223"/>
    <m/>
    <n v="7613023978824"/>
    <s v="CUTTING Disc (THICK)"/>
    <n v="100"/>
    <n v="100"/>
    <s v="NOS"/>
    <m/>
    <n v="0"/>
    <x v="12"/>
    <s v="G5"/>
    <m/>
    <m/>
  </r>
  <r>
    <n v="224"/>
    <m/>
    <n v="7025001913"/>
    <s v="GRINDING WHEEL"/>
    <n v="93"/>
    <n v="93"/>
    <s v="NOS"/>
    <m/>
    <n v="0"/>
    <x v="12"/>
    <s v="G5"/>
    <m/>
    <m/>
  </r>
  <r>
    <n v="225"/>
    <m/>
    <n v="2608619377"/>
    <s v="CUTTING DISC"/>
    <n v="41"/>
    <n v="41"/>
    <s v="NOS"/>
    <m/>
    <n v="0"/>
    <x v="12"/>
    <s v="G4"/>
    <m/>
    <m/>
  </r>
  <r>
    <n v="226"/>
    <m/>
    <n v="512060010201"/>
    <s v="WELDING HOLDER"/>
    <n v="4"/>
    <n v="4"/>
    <s v="NOS"/>
    <m/>
    <n v="0"/>
    <x v="12"/>
    <s v="G4"/>
    <m/>
    <m/>
  </r>
  <r>
    <n v="227"/>
    <m/>
    <n v="1300100376"/>
    <s v="FLASH BACK ARRESTOR"/>
    <n v="6"/>
    <n v="6"/>
    <s v="NOS"/>
    <m/>
    <n v="0"/>
    <x v="12"/>
    <s v="G4"/>
    <m/>
    <m/>
  </r>
  <r>
    <n v="228"/>
    <m/>
    <n v="463720"/>
    <s v="FLASH BACK ARRESTOR"/>
    <n v="12"/>
    <n v="12"/>
    <s v="NOS"/>
    <m/>
    <n v="0"/>
    <x v="12"/>
    <s v="G4"/>
    <m/>
    <m/>
  </r>
  <r>
    <n v="229"/>
    <m/>
    <m/>
    <s v="CUTTING HOSE(GAS CUTTER)"/>
    <n v="2"/>
    <n v="2"/>
    <s v="NOS"/>
    <m/>
    <n v="0"/>
    <x v="12"/>
    <s v="H6"/>
    <m/>
    <m/>
  </r>
  <r>
    <n v="230"/>
    <m/>
    <m/>
    <s v="APRON CLOTH"/>
    <n v="2"/>
    <n v="2"/>
    <s v="NOS"/>
    <m/>
    <n v="0"/>
    <x v="12"/>
    <s v="H6"/>
    <m/>
    <m/>
  </r>
  <r>
    <n v="231"/>
    <m/>
    <m/>
    <s v="WELDING FACE SHEILD"/>
    <n v="1"/>
    <n v="1"/>
    <s v="NOS"/>
    <m/>
    <n v="0"/>
    <x v="12"/>
    <s v="H6"/>
    <m/>
    <m/>
  </r>
  <r>
    <n v="232"/>
    <m/>
    <m/>
    <s v="WELDING CALBLE(ADOR)"/>
    <n v="2"/>
    <n v="2"/>
    <s v="NOS"/>
    <m/>
    <n v="0"/>
    <x v="12"/>
    <s v="GROUND"/>
    <m/>
    <m/>
  </r>
  <r>
    <n v="233"/>
    <s v="25101600AH56"/>
    <s v="25101600AH56"/>
    <s v="TYRE,54,F/DMPR,PN:27*49-54 PR,MRF"/>
    <n v="3"/>
    <n v="3"/>
    <s v="NOS"/>
    <n v="352861"/>
    <n v="1058583"/>
    <x v="13"/>
    <s v="WORKSHOP"/>
    <m/>
    <m/>
  </r>
  <r>
    <n v="234"/>
    <m/>
    <m/>
    <s v="12 V HORN"/>
    <n v="10"/>
    <n v="10"/>
    <s v="NOS"/>
    <m/>
    <n v="0"/>
    <x v="14"/>
    <s v="AE ROOM"/>
    <m/>
    <m/>
  </r>
  <r>
    <n v="235"/>
    <m/>
    <m/>
    <s v="24 V HORN"/>
    <n v="10"/>
    <n v="10"/>
    <s v="NOS"/>
    <m/>
    <n v="0"/>
    <x v="14"/>
    <s v="AE ROOM"/>
    <m/>
    <m/>
  </r>
  <r>
    <n v="236"/>
    <m/>
    <m/>
    <s v="HOURS METER"/>
    <n v="10"/>
    <n v="10"/>
    <s v="NOS"/>
    <m/>
    <n v="0"/>
    <x v="14"/>
    <s v="AE ROOM"/>
    <m/>
    <m/>
  </r>
  <r>
    <n v="237"/>
    <m/>
    <m/>
    <s v="24 V BULB 1176"/>
    <n v="5"/>
    <n v="5"/>
    <s v="NOS"/>
    <m/>
    <n v="0"/>
    <x v="14"/>
    <s v="AE ROOM"/>
    <m/>
    <m/>
  </r>
  <r>
    <n v="238"/>
    <m/>
    <m/>
    <s v="ROOT HORN 12 TO 24"/>
    <n v="4"/>
    <n v="4"/>
    <s v="NOS"/>
    <m/>
    <n v="0"/>
    <x v="14"/>
    <s v="AE ROOM"/>
    <m/>
    <m/>
  </r>
  <r>
    <n v="239"/>
    <m/>
    <m/>
    <s v="HEAD LIGHT SWITCH"/>
    <n v="16"/>
    <n v="16"/>
    <s v="NOS"/>
    <m/>
    <n v="0"/>
    <x v="14"/>
    <s v="AE ROOM"/>
    <m/>
    <m/>
  </r>
  <r>
    <n v="240"/>
    <m/>
    <m/>
    <s v="LED LIGHT"/>
    <n v="3"/>
    <n v="3"/>
    <s v="NOS"/>
    <m/>
    <n v="0"/>
    <x v="14"/>
    <s v="AE ROOM"/>
    <m/>
    <m/>
  </r>
  <r>
    <n v="241"/>
    <m/>
    <m/>
    <s v="24V SIRAN"/>
    <n v="1"/>
    <n v="1"/>
    <s v="NOS"/>
    <m/>
    <n v="0"/>
    <x v="14"/>
    <s v="AE ROOM"/>
    <m/>
    <m/>
  </r>
  <r>
    <n v="242"/>
    <m/>
    <m/>
    <s v="TOGGLE SWITCH"/>
    <n v="20"/>
    <n v="20"/>
    <s v="NOS"/>
    <m/>
    <n v="0"/>
    <x v="14"/>
    <s v="AE ROOM"/>
    <m/>
    <m/>
  </r>
  <r>
    <n v="243"/>
    <m/>
    <m/>
    <s v="FOG LAMP"/>
    <n v="2"/>
    <n v="2"/>
    <s v="NOS"/>
    <m/>
    <n v="0"/>
    <x v="14"/>
    <s v="AE ROOM"/>
    <m/>
    <m/>
  </r>
  <r>
    <n v="244"/>
    <m/>
    <m/>
    <s v="CAMERA SET"/>
    <n v="2"/>
    <n v="2"/>
    <s v="NOS"/>
    <m/>
    <n v="0"/>
    <x v="14"/>
    <s v="AE ROOM"/>
    <m/>
    <m/>
  </r>
  <r>
    <n v="245"/>
    <m/>
    <m/>
    <s v="EXTENSTATION BOARD WITH MCB"/>
    <n v="1"/>
    <n v="1"/>
    <s v="NOS"/>
    <m/>
    <n v="0"/>
    <x v="14"/>
    <s v="AE ROOM"/>
    <m/>
    <m/>
  </r>
  <r>
    <n v="246"/>
    <m/>
    <m/>
    <s v="REVERSE HORN 12V"/>
    <n v="3"/>
    <n v="3"/>
    <s v="NOS"/>
    <m/>
    <n v="0"/>
    <x v="14"/>
    <s v="AE ROOM"/>
    <m/>
    <m/>
  </r>
  <r>
    <n v="247"/>
    <m/>
    <m/>
    <s v="70MM SQUAREBATERY CABLE (RED)"/>
    <n v="2"/>
    <n v="2"/>
    <s v="METER"/>
    <m/>
    <n v="0"/>
    <x v="14"/>
    <s v="AE ROOM"/>
    <m/>
    <m/>
  </r>
  <r>
    <n v="248"/>
    <m/>
    <m/>
    <s v="70MM SQUARE BATERY CABLE (BLACK)"/>
    <n v="2"/>
    <n v="2"/>
    <s v="METER"/>
    <m/>
    <n v="0"/>
    <x v="14"/>
    <s v="AE ROOM"/>
    <m/>
    <m/>
  </r>
  <r>
    <n v="249"/>
    <m/>
    <m/>
    <s v="9559 MM SQUARE BATTERY CABLE RED"/>
    <n v="2"/>
    <n v="2"/>
    <s v="METER"/>
    <m/>
    <n v="0"/>
    <x v="14"/>
    <s v="AE ROOM"/>
    <m/>
    <m/>
  </r>
  <r>
    <n v="250"/>
    <m/>
    <m/>
    <s v="9559 MM SQUARE BATTERY CABLE BLACK"/>
    <n v="2"/>
    <n v="2"/>
    <s v="METER"/>
    <m/>
    <n v="0"/>
    <x v="14"/>
    <s v="AE ROOM"/>
    <m/>
    <m/>
  </r>
  <r>
    <n v="251"/>
    <m/>
    <m/>
    <s v="2.5 S9 MM SQUARE WIRE"/>
    <n v="3"/>
    <n v="3"/>
    <s v="METER"/>
    <m/>
    <n v="0"/>
    <x v="14"/>
    <s v="AE ROOM"/>
    <m/>
    <m/>
  </r>
  <r>
    <n v="252"/>
    <m/>
    <m/>
    <s v="4MM WIRE  25 M"/>
    <n v="10"/>
    <n v="10"/>
    <s v="ROLL"/>
    <m/>
    <n v="0"/>
    <x v="14"/>
    <s v="AE ROOM"/>
    <m/>
    <m/>
  </r>
  <r>
    <n v="253"/>
    <m/>
    <m/>
    <s v="6M WIRE 20M"/>
    <n v="10"/>
    <n v="10"/>
    <s v="ROLL"/>
    <m/>
    <n v="0"/>
    <x v="14"/>
    <s v="AE ROOM"/>
    <m/>
    <m/>
  </r>
  <r>
    <n v="254"/>
    <m/>
    <m/>
    <s v="WATER TANKER SELF STARTER"/>
    <n v="1"/>
    <n v="1"/>
    <s v="NOS"/>
    <m/>
    <n v="0"/>
    <x v="14"/>
    <s v="AE ROOM"/>
    <m/>
    <m/>
  </r>
  <r>
    <n v="255"/>
    <m/>
    <m/>
    <s v="SELF STARTER EXPLOSIVE VAN"/>
    <n v="1"/>
    <n v="1"/>
    <s v="NOS"/>
    <m/>
    <n v="0"/>
    <x v="14"/>
    <s v="AE ROOM"/>
    <m/>
    <m/>
  </r>
  <r>
    <n v="256"/>
    <m/>
    <m/>
    <s v="SELF STARTER DIESEL TANKER"/>
    <n v="1"/>
    <n v="1"/>
    <s v="NOS"/>
    <m/>
    <n v="0"/>
    <x v="14"/>
    <s v="AE ROOM"/>
    <m/>
    <m/>
  </r>
  <r>
    <n v="257"/>
    <m/>
    <m/>
    <s v="BATTERY GELLY"/>
    <n v="5"/>
    <n v="5"/>
    <s v="NOS"/>
    <m/>
    <n v="0"/>
    <x v="14"/>
    <s v="AE ROOM"/>
    <m/>
    <m/>
  </r>
  <r>
    <n v="258"/>
    <m/>
    <m/>
    <s v="SLEEV 10MM"/>
    <n v="3"/>
    <n v="3"/>
    <s v="ROLL"/>
    <m/>
    <n v="0"/>
    <x v="14"/>
    <s v="AE ROOM"/>
    <m/>
    <m/>
  </r>
  <r>
    <n v="259"/>
    <m/>
    <m/>
    <s v="+ &amp; - TERMINAL"/>
    <n v="3"/>
    <n v="0"/>
    <m/>
    <m/>
    <n v="0"/>
    <x v="14"/>
    <s v="AE ROOM"/>
    <m/>
    <m/>
  </r>
  <r>
    <n v="260"/>
    <m/>
    <m/>
    <s v="BEACON LAMP SOLAR"/>
    <n v="6"/>
    <n v="6"/>
    <s v="NOS"/>
    <m/>
    <n v="0"/>
    <x v="14"/>
    <s v="AE ROOM"/>
    <m/>
    <m/>
  </r>
  <r>
    <n v="261"/>
    <m/>
    <m/>
    <s v="BEACON LAMP ELECTRIC"/>
    <n v="9"/>
    <n v="9"/>
    <s v="NOS"/>
    <m/>
    <n v="0"/>
    <x v="14"/>
    <s v="AE ROOM"/>
    <m/>
    <m/>
  </r>
  <r>
    <n v="262"/>
    <m/>
    <m/>
    <s v="BATTERY CUT OFF SWITCH"/>
    <n v="19"/>
    <n v="19"/>
    <s v="NOS"/>
    <m/>
    <n v="0"/>
    <x v="14"/>
    <s v="AE ROOM"/>
    <m/>
    <m/>
  </r>
  <r>
    <n v="263"/>
    <m/>
    <m/>
    <s v="KEY SWITCH OF SWEEPING MACHINE"/>
    <n v="10"/>
    <n v="10"/>
    <s v="NOS"/>
    <m/>
    <n v="0"/>
    <x v="14"/>
    <s v="AE ROOM"/>
    <m/>
    <m/>
  </r>
  <r>
    <n v="264"/>
    <m/>
    <m/>
    <s v="RELAY "/>
    <n v="1"/>
    <n v="1"/>
    <m/>
    <m/>
    <n v="0"/>
    <x v="14"/>
    <s v="AE ROOM"/>
    <m/>
    <m/>
  </r>
  <r>
    <n v="265"/>
    <m/>
    <m/>
    <s v="HYDRA TAIL LAMP"/>
    <n v="4"/>
    <n v="4"/>
    <s v="NOS"/>
    <m/>
    <n v="0"/>
    <x v="14"/>
    <s v="AE ROOM"/>
    <m/>
    <m/>
  </r>
  <r>
    <n v="266"/>
    <m/>
    <m/>
    <s v="HYDRA BULB"/>
    <n v="3"/>
    <n v="0"/>
    <m/>
    <m/>
    <n v="0"/>
    <x v="14"/>
    <s v="AE ROOM"/>
    <m/>
    <m/>
  </r>
  <r>
    <n v="267"/>
    <m/>
    <m/>
    <s v="COMPACTOR KEY SWITCH"/>
    <n v="1"/>
    <n v="1"/>
    <s v="NOS"/>
    <m/>
    <n v="0"/>
    <x v="14"/>
    <s v="AE ROOM"/>
    <m/>
    <m/>
  </r>
  <r>
    <n v="268"/>
    <m/>
    <m/>
    <s v="."/>
    <n v="3"/>
    <n v="3"/>
    <m/>
    <m/>
    <n v="0"/>
    <x v="14"/>
    <s v="AE ROOM"/>
    <m/>
    <m/>
  </r>
  <r>
    <n v="269"/>
    <m/>
    <m/>
    <s v="TIMER RELAY OF WATER TANKER"/>
    <n v="1"/>
    <n v="1"/>
    <s v="NOS"/>
    <m/>
    <n v="0"/>
    <x v="14"/>
    <s v="AE ROOM"/>
    <m/>
    <m/>
  </r>
  <r>
    <n v="270"/>
    <m/>
    <m/>
    <s v="25 FUSE SMALL"/>
    <n v="20"/>
    <n v="20"/>
    <s v="NOS"/>
    <m/>
    <n v="0"/>
    <x v="14"/>
    <s v="AE ROOM"/>
    <m/>
    <m/>
  </r>
  <r>
    <n v="271"/>
    <m/>
    <m/>
    <s v="10 FUSE SMALL"/>
    <n v="90"/>
    <n v="90"/>
    <s v="NOS"/>
    <m/>
    <n v="0"/>
    <x v="14"/>
    <s v="AE ROOM"/>
    <m/>
    <m/>
  </r>
  <r>
    <n v="272"/>
    <m/>
    <m/>
    <s v="5 FUSE SMALL"/>
    <n v="20"/>
    <n v="20"/>
    <s v="NOS"/>
    <m/>
    <n v="0"/>
    <x v="14"/>
    <s v="AE ROOM"/>
    <m/>
    <m/>
  </r>
  <r>
    <n v="273"/>
    <m/>
    <m/>
    <s v="RELAY 24 VOLT"/>
    <n v="10"/>
    <n v="10"/>
    <s v="NOS"/>
    <m/>
    <n v="0"/>
    <x v="14"/>
    <s v="AE ROOM"/>
    <m/>
    <m/>
  </r>
  <r>
    <n v="274"/>
    <m/>
    <m/>
    <s v="RELAY 11 VOLT"/>
    <n v="10"/>
    <n v="10"/>
    <s v="NOS"/>
    <m/>
    <n v="0"/>
    <x v="14"/>
    <s v="AE ROOM"/>
    <m/>
    <m/>
  </r>
  <r>
    <n v="275"/>
    <m/>
    <m/>
    <m/>
    <n v="3"/>
    <n v="3"/>
    <m/>
    <m/>
    <n v="0"/>
    <x v="14"/>
    <s v="AE ROOM"/>
    <m/>
    <m/>
  </r>
  <r>
    <n v="276"/>
    <m/>
    <m/>
    <s v="TIE CABLE 300"/>
    <n v="3"/>
    <n v="3"/>
    <s v="NOS"/>
    <m/>
    <n v="0"/>
    <x v="14"/>
    <s v="AE ROOM"/>
    <m/>
    <m/>
  </r>
  <r>
    <n v="277"/>
    <m/>
    <m/>
    <s v="TIE CABLE 100"/>
    <n v="4"/>
    <n v="4"/>
    <s v="NOS"/>
    <m/>
    <n v="0"/>
    <x v="14"/>
    <s v="AE ROOM"/>
    <m/>
    <m/>
  </r>
  <r>
    <n v="278"/>
    <m/>
    <m/>
    <s v="TIE CABLE 200"/>
    <n v="4"/>
    <n v="4"/>
    <s v="NOS"/>
    <m/>
    <n v="0"/>
    <x v="14"/>
    <s v="AE ROOM"/>
    <m/>
    <m/>
  </r>
  <r>
    <n v="279"/>
    <m/>
    <m/>
    <s v="TRACTOR FUSE 30A"/>
    <n v="2"/>
    <n v="2"/>
    <s v="NOS"/>
    <m/>
    <n v="0"/>
    <x v="14"/>
    <s v="AE ROOM"/>
    <m/>
    <m/>
  </r>
  <r>
    <n v="280"/>
    <m/>
    <m/>
    <s v="TRACTOR FUSE 80 A"/>
    <n v="2"/>
    <n v="2"/>
    <s v="NOS"/>
    <m/>
    <n v="0"/>
    <x v="14"/>
    <s v="AE ROOM"/>
    <m/>
    <m/>
  </r>
  <r>
    <n v="281"/>
    <m/>
    <s v="A3K4BO30006"/>
    <s v="EXIDE BATTERY 120AMH"/>
    <n v="1"/>
    <n v="1"/>
    <s v="NOS"/>
    <m/>
    <n v="0"/>
    <x v="15"/>
    <s v="BATTERY ROOM"/>
    <m/>
    <m/>
  </r>
  <r>
    <n v="282"/>
    <m/>
    <s v="A3K4BO30212"/>
    <s v="EXIDE BATTERY 120AMH"/>
    <n v="1"/>
    <n v="1"/>
    <s v="NOS"/>
    <m/>
    <n v="0"/>
    <x v="15"/>
    <s v="BATTERY ROOM"/>
    <m/>
    <m/>
  </r>
  <r>
    <n v="283"/>
    <m/>
    <s v="A4F4D013949"/>
    <s v="EXIDE BATTERY 200AMH"/>
    <n v="1"/>
    <n v="1"/>
    <s v="NOS"/>
    <m/>
    <n v="0"/>
    <x v="15"/>
    <s v="BATTERY ROOM"/>
    <m/>
    <m/>
  </r>
  <r>
    <n v="284"/>
    <m/>
    <s v="A3G4E163295"/>
    <s v="EXIDE BATTERY 200AMH"/>
    <n v="1"/>
    <n v="1"/>
    <s v="NOS"/>
    <m/>
    <n v="0"/>
    <x v="15"/>
    <s v="BATTERY ROOM"/>
    <m/>
    <m/>
  </r>
  <r>
    <n v="285"/>
    <m/>
    <s v="A1K4B413782"/>
    <s v="EXIDE BATTERY 100AMH"/>
    <n v="1"/>
    <n v="1"/>
    <s v="NOS"/>
    <m/>
    <n v="0"/>
    <x v="15"/>
    <s v="BATTERY ROOM"/>
    <m/>
    <m/>
  </r>
  <r>
    <n v="286"/>
    <m/>
    <s v="A3K4A072685"/>
    <s v="EXIDE BATTERY 100AMH"/>
    <n v="1"/>
    <n v="1"/>
    <s v="NOS"/>
    <m/>
    <n v="0"/>
    <x v="15"/>
    <s v="BATTERY ROOM"/>
    <m/>
    <m/>
  </r>
  <r>
    <n v="287"/>
    <m/>
    <s v="A3D5E028955"/>
    <s v="EXIDE BATTERY 130AMH"/>
    <n v="1"/>
    <n v="1"/>
    <s v="NOS"/>
    <m/>
    <n v="0"/>
    <x v="15"/>
    <s v="BATTERY ROOM"/>
    <m/>
    <m/>
  </r>
  <r>
    <n v="288"/>
    <m/>
    <s v="A3D5E028447"/>
    <s v="EXIDE BATTERY 130AMH"/>
    <n v="1"/>
    <n v="1"/>
    <s v="NOS"/>
    <m/>
    <n v="0"/>
    <x v="15"/>
    <s v="BATTERY ROOM"/>
    <m/>
    <m/>
  </r>
  <r>
    <n v="289"/>
    <m/>
    <s v="A3K4A072458"/>
    <s v="EXIDE BATTERY 100AMH"/>
    <n v="1"/>
    <n v="1"/>
    <s v="NOS"/>
    <m/>
    <n v="0"/>
    <x v="15"/>
    <s v="BATTERY ROOM"/>
    <m/>
    <m/>
  </r>
  <r>
    <n v="290"/>
    <m/>
    <s v="A3K4E302004"/>
    <s v="EXIDE BATTERY 100AMH"/>
    <n v="1"/>
    <n v="1"/>
    <s v="NOS"/>
    <m/>
    <n v="0"/>
    <x v="15"/>
    <s v="BATTERY ROOM"/>
    <m/>
    <m/>
  </r>
  <r>
    <n v="291"/>
    <m/>
    <s v="A3D5B041831"/>
    <s v="EXIDE BATTERY 130AMH"/>
    <n v="1"/>
    <n v="1"/>
    <s v="NOS"/>
    <m/>
    <n v="0"/>
    <x v="15"/>
    <s v="BATTERY ROOM"/>
    <m/>
    <m/>
  </r>
  <r>
    <n v="292"/>
    <m/>
    <s v="A3D5B045260"/>
    <s v="EXIDE BATTERY 130AMH"/>
    <n v="1"/>
    <n v="1"/>
    <s v="NOS"/>
    <m/>
    <n v="0"/>
    <x v="15"/>
    <s v="BATTERY ROOM"/>
    <m/>
    <m/>
  </r>
  <r>
    <n v="293"/>
    <m/>
    <s v="A2K4C028677"/>
    <s v="EXIDE BATTERY 80AMH"/>
    <n v="1"/>
    <n v="1"/>
    <s v="NOS"/>
    <m/>
    <n v="0"/>
    <x v="15"/>
    <s v="BATTERY ROOM"/>
    <m/>
    <m/>
  </r>
  <r>
    <n v="294"/>
    <m/>
    <s v="A2K4C028618"/>
    <s v="EXIDE BATTERY 80AMH"/>
    <n v="1"/>
    <n v="1"/>
    <s v="NOS"/>
    <m/>
    <n v="0"/>
    <x v="15"/>
    <s v="BATTERY ROOM"/>
    <m/>
    <m/>
  </r>
  <r>
    <n v="295"/>
    <n v="23271000317"/>
    <m/>
    <s v="WELDING HAND SCREEN"/>
    <n v="2"/>
    <n v="3"/>
    <s v="NOS"/>
    <m/>
    <n v="0"/>
    <x v="12"/>
    <s v="F5"/>
    <n v="1"/>
    <d v="2025-09-29T00:00:00"/>
  </r>
  <r>
    <n v="296"/>
    <n v="232717099834"/>
    <m/>
    <s v="CUTTING SET"/>
    <n v="2"/>
    <n v="2"/>
    <s v="NOS"/>
    <n v="7110"/>
    <n v="14220"/>
    <x v="12"/>
    <s v="F5"/>
    <m/>
    <m/>
  </r>
  <r>
    <n v="297"/>
    <n v="312026020027"/>
    <m/>
    <s v="ARALDITE CAP"/>
    <n v="15"/>
    <n v="15"/>
    <s v="PACKET"/>
    <m/>
    <n v="0"/>
    <x v="0"/>
    <s v="G3"/>
    <m/>
    <m/>
  </r>
  <r>
    <n v="298"/>
    <n v="401615000329"/>
    <m/>
    <s v="FILTER AIR CRANE"/>
    <n v="2"/>
    <n v="2"/>
    <s v="NOS"/>
    <n v="2379.6"/>
    <n v="4759.2"/>
    <x v="3"/>
    <s v="C1"/>
    <m/>
    <m/>
  </r>
  <r>
    <n v="299"/>
    <n v="401615000449"/>
    <m/>
    <s v="FLTR ELMNT TRANSMISSION"/>
    <n v="2"/>
    <n v="2"/>
    <s v="NOS"/>
    <n v="14694"/>
    <n v="29388"/>
    <x v="10"/>
    <s v="B6"/>
    <m/>
    <m/>
  </r>
  <r>
    <n v="300"/>
    <n v="411100000565"/>
    <m/>
    <s v="ANLYZR OXYGEN TP 100PCT"/>
    <n v="1"/>
    <n v="1"/>
    <s v="NOS"/>
    <n v="80278"/>
    <n v="80278"/>
    <x v="16"/>
    <s v="ALMIRAH-01"/>
    <m/>
    <m/>
  </r>
  <r>
    <n v="301"/>
    <m/>
    <m/>
    <s v="OUTSIDE CALIPER"/>
    <n v="1"/>
    <n v="1"/>
    <s v="NOS"/>
    <m/>
    <n v="0"/>
    <x v="16"/>
    <s v="ALMIRAH-01"/>
    <m/>
    <m/>
  </r>
  <r>
    <n v="302"/>
    <n v="999827002317"/>
    <m/>
    <s v="BALL VALUE"/>
    <n v="10"/>
    <n v="10"/>
    <s v="NOS"/>
    <n v="290"/>
    <n v="2900"/>
    <x v="0"/>
    <s v="BAY-03"/>
    <m/>
    <m/>
  </r>
  <r>
    <n v="303"/>
    <n v="999856000248"/>
    <m/>
    <s v="BUTTERFLY VALVE 3"/>
    <n v="6"/>
    <n v="6"/>
    <s v="NOS"/>
    <n v="1150"/>
    <n v="6900"/>
    <x v="0"/>
    <s v="BAY-03"/>
    <m/>
    <m/>
  </r>
  <r>
    <n v="304"/>
    <n v="999893014356"/>
    <m/>
    <s v="V-BELT"/>
    <n v="1"/>
    <n v="1"/>
    <s v="NOS"/>
    <n v="909"/>
    <n v="909"/>
    <x v="10"/>
    <s v="G-RACK"/>
    <m/>
    <m/>
  </r>
  <r>
    <n v="305"/>
    <n v="999894005984"/>
    <m/>
    <s v="D SPANNER"/>
    <n v="2"/>
    <n v="2"/>
    <s v="NOS"/>
    <n v="663"/>
    <n v="1326"/>
    <x v="17"/>
    <s v="TOOL ROOM"/>
    <m/>
    <m/>
  </r>
  <r>
    <n v="306"/>
    <m/>
    <n v="100010731743012"/>
    <s v="DC MOTOR"/>
    <n v="0"/>
    <n v="1"/>
    <s v="NOS"/>
    <m/>
    <n v="0"/>
    <x v="18"/>
    <s v="F6"/>
    <n v="1"/>
    <d v="2025-09-28T00:00:00"/>
  </r>
  <r>
    <n v="307"/>
    <m/>
    <m/>
    <s v="FACE SHIELD, GRINDING"/>
    <n v="1"/>
    <n v="2"/>
    <s v="NOS"/>
    <m/>
    <n v="0"/>
    <x v="12"/>
    <s v="F3"/>
    <n v="1"/>
    <d v="2025-09-28T00:00:00"/>
  </r>
  <r>
    <n v="308"/>
    <s v="25172500H351"/>
    <m/>
    <s v="TROLLY WHEEL 4&quot;"/>
    <n v="12"/>
    <n v="20"/>
    <s v="NOS"/>
    <n v="1195"/>
    <n v="14340"/>
    <x v="0"/>
    <s v="H4"/>
    <n v="8"/>
    <m/>
  </r>
  <r>
    <n v="309"/>
    <m/>
    <m/>
    <s v="HOSE KIT, WATER TANKER, BEML"/>
    <n v="1"/>
    <n v="1"/>
    <s v="SET"/>
    <m/>
    <n v="0"/>
    <x v="10"/>
    <s v="GROUND"/>
    <m/>
    <m/>
  </r>
  <r>
    <n v="310"/>
    <m/>
    <m/>
    <s v="VERNIYEER CALLIPER- 300MM"/>
    <n v="1"/>
    <n v="1"/>
    <s v="NOS"/>
    <m/>
    <n v="0"/>
    <x v="16"/>
    <s v="ALMIRAH-01"/>
    <m/>
    <m/>
  </r>
  <r>
    <n v="311"/>
    <m/>
    <m/>
    <s v="VERNIYEER CALLIPER- 150MM"/>
    <n v="1"/>
    <n v="1"/>
    <s v="NOS"/>
    <m/>
    <n v="0"/>
    <x v="16"/>
    <s v="ALMIRAH-01"/>
    <m/>
    <m/>
  </r>
  <r>
    <n v="312"/>
    <m/>
    <m/>
    <s v="DIGITAL, TEMPRETURE GAUGE"/>
    <n v="2"/>
    <n v="2"/>
    <s v="NOS"/>
    <m/>
    <n v="0"/>
    <x v="16"/>
    <s v="ALMIRAH-01"/>
    <m/>
    <m/>
  </r>
  <r>
    <n v="313"/>
    <m/>
    <m/>
    <s v="DIGITAL TECHOMETER"/>
    <n v="1"/>
    <n v="1"/>
    <s v="NOS"/>
    <m/>
    <n v="0"/>
    <x v="16"/>
    <s v="ALMIRAH-01"/>
    <m/>
    <m/>
  </r>
  <r>
    <n v="314"/>
    <m/>
    <m/>
    <s v="NOICE METER"/>
    <n v="1"/>
    <n v="1"/>
    <s v="NOS"/>
    <m/>
    <n v="0"/>
    <x v="16"/>
    <s v="ALMIRAH-01"/>
    <m/>
    <m/>
  </r>
  <r>
    <n v="315"/>
    <m/>
    <m/>
    <s v="PUNCH, NUMERICAL"/>
    <n v="1"/>
    <n v="1"/>
    <s v="SET"/>
    <m/>
    <n v="0"/>
    <x v="16"/>
    <s v="ALMIRAH-01"/>
    <m/>
    <m/>
  </r>
  <r>
    <n v="316"/>
    <m/>
    <m/>
    <s v="SPRITE LEVEL GAUGE"/>
    <n v="1"/>
    <n v="1"/>
    <s v="NOS"/>
    <m/>
    <n v="0"/>
    <x v="16"/>
    <s v="ALMIRAH-01"/>
    <m/>
    <m/>
  </r>
  <r>
    <n v="317"/>
    <m/>
    <m/>
    <s v="ACCUMULATOR CHARGING KIT (R/B)"/>
    <n v="1"/>
    <n v="1"/>
    <s v="SET"/>
    <m/>
    <n v="0"/>
    <x v="16"/>
    <s v="ALMIRAH-01"/>
    <m/>
    <m/>
  </r>
  <r>
    <n v="318"/>
    <m/>
    <m/>
    <s v="ALCOHAL ANALYSER"/>
    <n v="1"/>
    <n v="1"/>
    <s v="NOS"/>
    <m/>
    <n v="0"/>
    <x v="16"/>
    <s v="ALMIRAH-01"/>
    <m/>
    <m/>
  </r>
  <r>
    <n v="319"/>
    <m/>
    <m/>
    <s v="O-RING KIT, MM"/>
    <n v="2"/>
    <n v="2"/>
    <s v="SET"/>
    <m/>
    <n v="0"/>
    <x v="0"/>
    <s v="ALMIRAH-01"/>
    <m/>
    <m/>
  </r>
  <r>
    <n v="320"/>
    <m/>
    <m/>
    <s v="O-RING KIT, INCHES"/>
    <n v="1"/>
    <n v="1"/>
    <s v="SET"/>
    <m/>
    <n v="0"/>
    <x v="0"/>
    <s v="ALMIRAH-01"/>
    <m/>
    <m/>
  </r>
  <r>
    <n v="321"/>
    <n v="251725040049"/>
    <m/>
    <s v="TYRE SIZE 14.00*25 20PR,PG6S,F/LOADER"/>
    <n v="1"/>
    <n v="2"/>
    <s v="NOS"/>
    <n v="27498"/>
    <n v="27498"/>
    <x v="6"/>
    <s v="TYRE ROOM"/>
    <n v="1"/>
    <d v="2025-09-29T00:00:00"/>
  </r>
  <r>
    <n v="322"/>
    <n v="251725000758"/>
    <m/>
    <s v="TUBE,14.00X25"/>
    <n v="1"/>
    <n v="2"/>
    <s v="NOS"/>
    <n v="2390"/>
    <n v="2390"/>
    <x v="6"/>
    <s v="TYRE ROOM"/>
    <n v="1"/>
    <d v="2025-09-29T00:00:00"/>
  </r>
  <r>
    <n v="323"/>
    <m/>
    <m/>
    <s v="CPEM 021 ELECTRODE, 4MM, EWAC"/>
    <n v="10"/>
    <n v="10"/>
    <s v="KG"/>
    <m/>
    <n v="0"/>
    <x v="19"/>
    <s v="F6"/>
    <m/>
    <m/>
  </r>
  <r>
    <n v="324"/>
    <m/>
    <m/>
    <s v="GROUSING ROD, 4MM, EWAC"/>
    <n v="10"/>
    <n v="10"/>
    <s v="KG"/>
    <m/>
    <n v="0"/>
    <x v="19"/>
    <s v="F6"/>
    <m/>
    <m/>
  </r>
  <r>
    <n v="325"/>
    <m/>
    <m/>
    <s v="XUPER 660 NH, 4MM, EWAC"/>
    <n v="10"/>
    <n v="10"/>
    <s v="KG"/>
    <m/>
    <n v="0"/>
    <x v="19"/>
    <s v="F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261EF2-B9D1-48CE-9C17-9779E814E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3">
    <pivotField showAll="0"/>
    <pivotField showAll="0"/>
    <pivotField showAll="0"/>
    <pivotField showAll="0"/>
    <pivotField showAll="0"/>
    <pivotField showAll="0"/>
    <pivotField showAll="0"/>
    <pivotField showAll="0"/>
    <pivotField dataField="1" showAll="0"/>
    <pivotField axis="axisRow" showAll="0" sortType="descending">
      <items count="22">
        <item x="11"/>
        <item x="4"/>
        <item x="5"/>
        <item x="13"/>
        <item x="1"/>
        <item x="7"/>
        <item x="9"/>
        <item x="8"/>
        <item x="6"/>
        <item x="0"/>
        <item x="2"/>
        <item x="3"/>
        <item x="10"/>
        <item x="12"/>
        <item x="14"/>
        <item x="15"/>
        <item x="16"/>
        <item x="17"/>
        <item x="18"/>
        <item m="1" x="20"/>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21">
    <i>
      <x v="3"/>
    </i>
    <i>
      <x v="4"/>
    </i>
    <i>
      <x v="10"/>
    </i>
    <i>
      <x v="11"/>
    </i>
    <i>
      <x v="1"/>
    </i>
    <i>
      <x v="16"/>
    </i>
    <i>
      <x v="12"/>
    </i>
    <i>
      <x v="8"/>
    </i>
    <i>
      <x v="9"/>
    </i>
    <i>
      <x v="5"/>
    </i>
    <i>
      <x v="13"/>
    </i>
    <i>
      <x v="6"/>
    </i>
    <i>
      <x v="17"/>
    </i>
    <i>
      <x/>
    </i>
    <i>
      <x v="20"/>
    </i>
    <i>
      <x v="7"/>
    </i>
    <i>
      <x v="18"/>
    </i>
    <i>
      <x v="15"/>
    </i>
    <i>
      <x v="2"/>
    </i>
    <i>
      <x v="14"/>
    </i>
    <i t="grand">
      <x/>
    </i>
  </rowItems>
  <colItems count="1">
    <i/>
  </colItems>
  <dataFields count="1">
    <dataField name="Sum of AMOUNT" fld="8" baseField="0" baseItem="0"/>
  </dataFields>
  <formats count="1">
    <format dxfId="19">
      <pivotArea collapsedLevelsAreSubtotals="1" fieldPosition="0">
        <references count="1">
          <reference field="9"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D80D17-B294-48EF-898B-7C8A510EA16E}" sourceName="CATEGORY">
  <extLst>
    <x:ext xmlns:x15="http://schemas.microsoft.com/office/spreadsheetml/2010/11/main" uri="{2F2917AC-EB37-4324-AD4E-5DD8C200BD13}">
      <x15:tableSlicerCache tableId="1"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5B88C8A-20A4-4A1E-A652-045A36E8FE9B}" sourceName="LOCATION">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76847DB-1526-4B0B-AD0C-A5D15B60CB47}" cache="Slicer_CATEGORY" caption="CATEGORY" columnCount="6" rowHeight="247650"/>
  <slicer name="LOCATION" xr10:uid="{18992276-89AA-4F83-9568-5D7422ADCBD4}" cache="Slicer_LOCATION" caption="LOCATION" columnCount="1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1C921-71B2-4A92-9456-C17123BC9E61}" name="Table1" displayName="Table1" ref="A14:M626" totalsRowShown="0" headerRowDxfId="18" dataDxfId="16" headerRowBorderDxfId="17" tableBorderDxfId="15" totalsRowBorderDxfId="14">
  <autoFilter ref="A14:M626" xr:uid="{0CB1C921-71B2-4A92-9456-C17123BC9E61}"/>
  <sortState xmlns:xlrd2="http://schemas.microsoft.com/office/spreadsheetml/2017/richdata2" ref="A95:M95">
    <sortCondition ref="A15:A582"/>
  </sortState>
  <tableColumns count="13">
    <tableColumn id="1" xr3:uid="{41CA2995-98A0-4AFD-85F2-A8B870B43607}" name="SL NO." dataDxfId="13"/>
    <tableColumn id="2" xr3:uid="{E115EC0A-2D6D-412B-89CA-BA5AEE2F0863}" name="MATERIAL CODE" dataDxfId="12"/>
    <tableColumn id="3" xr3:uid="{B4516404-74A2-48F2-BF12-A108C633D86C}" name="PART NUMBER" dataDxfId="11"/>
    <tableColumn id="4" xr3:uid="{AF69B46B-1CEE-49BB-87C5-EA057782C3D7}" name="DESCRIPTION" dataDxfId="10"/>
    <tableColumn id="13" xr3:uid="{90112902-BFBB-4A95-AB63-40B96BB2F677}" name="ACTUAL STOCK" dataDxfId="9">
      <calculatedColumnFormula>Table1[[#This Row],[QUANTITY]]-Table1[[#This Row],[CONSUMPTION]]</calculatedColumnFormula>
    </tableColumn>
    <tableColumn id="5" xr3:uid="{F9D50281-43BD-4388-B59B-A21E156C7C50}" name="QUANTITY" dataDxfId="8"/>
    <tableColumn id="6" xr3:uid="{0C2466CE-1880-4404-B526-D1A0E9A3200F}" name="UOM" dataDxfId="7"/>
    <tableColumn id="7" xr3:uid="{0848E9F1-CFE0-463E-A7DE-A9CA1A661B44}" name="UNIT PRICE" dataDxfId="6"/>
    <tableColumn id="8" xr3:uid="{BB3FE1AA-F61F-4AED-9F76-560F7F7D09F4}" name="AMOUNT" dataDxfId="5">
      <calculatedColumnFormula>H15*E15</calculatedColumnFormula>
    </tableColumn>
    <tableColumn id="9" xr3:uid="{0955CE03-0A80-44DB-BDFF-CADD161B0F89}" name="CATEGORY" dataDxfId="4"/>
    <tableColumn id="10" xr3:uid="{DF7C8F2B-CEA4-44C5-A221-020612EE4177}" name="LOCATION" dataDxfId="3"/>
    <tableColumn id="11" xr3:uid="{A7CE95F5-5CED-42F8-BC91-CA3FD3462123}" name="CONSUMPTION" dataDxfId="2"/>
    <tableColumn id="12" xr3:uid="{A45E771D-C306-4D6D-B1F7-C035523E198C}" name="CONSUMPTION DATE"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2D74-1A37-4838-8F4C-8EF4EF2F7F99}">
  <dimension ref="A3:B24"/>
  <sheetViews>
    <sheetView workbookViewId="0">
      <selection activeCell="J17" sqref="J17"/>
    </sheetView>
  </sheetViews>
  <sheetFormatPr defaultRowHeight="15" x14ac:dyDescent="0.25"/>
  <cols>
    <col min="1" max="1" width="20.85546875" bestFit="1" customWidth="1"/>
    <col min="2" max="2" width="14.42578125" bestFit="1" customWidth="1"/>
  </cols>
  <sheetData>
    <row r="3" spans="1:2" x14ac:dyDescent="0.25">
      <c r="A3" s="16" t="s">
        <v>0</v>
      </c>
      <c r="B3" t="s">
        <v>1</v>
      </c>
    </row>
    <row r="4" spans="1:2" x14ac:dyDescent="0.25">
      <c r="A4" s="15" t="s">
        <v>2</v>
      </c>
      <c r="B4" s="35">
        <v>1058583</v>
      </c>
    </row>
    <row r="5" spans="1:2" x14ac:dyDescent="0.25">
      <c r="A5" s="15" t="s">
        <v>3</v>
      </c>
      <c r="B5">
        <v>964844.25</v>
      </c>
    </row>
    <row r="6" spans="1:2" x14ac:dyDescent="0.25">
      <c r="A6" s="15" t="s">
        <v>4</v>
      </c>
      <c r="B6">
        <v>736534.41000000015</v>
      </c>
    </row>
    <row r="7" spans="1:2" x14ac:dyDescent="0.25">
      <c r="A7" s="15" t="s">
        <v>5</v>
      </c>
      <c r="B7">
        <v>697136.09999999986</v>
      </c>
    </row>
    <row r="8" spans="1:2" x14ac:dyDescent="0.25">
      <c r="A8" s="15" t="s">
        <v>6</v>
      </c>
      <c r="B8">
        <v>80313</v>
      </c>
    </row>
    <row r="9" spans="1:2" x14ac:dyDescent="0.25">
      <c r="A9" s="15" t="s">
        <v>7</v>
      </c>
      <c r="B9">
        <v>80278</v>
      </c>
    </row>
    <row r="10" spans="1:2" x14ac:dyDescent="0.25">
      <c r="A10" s="15" t="s">
        <v>8</v>
      </c>
      <c r="B10">
        <v>68282</v>
      </c>
    </row>
    <row r="11" spans="1:2" x14ac:dyDescent="0.25">
      <c r="A11" s="15" t="s">
        <v>9</v>
      </c>
      <c r="B11">
        <v>57818.15</v>
      </c>
    </row>
    <row r="12" spans="1:2" x14ac:dyDescent="0.25">
      <c r="A12" s="15" t="s">
        <v>10</v>
      </c>
      <c r="B12">
        <v>57142.34</v>
      </c>
    </row>
    <row r="13" spans="1:2" x14ac:dyDescent="0.25">
      <c r="A13" s="15" t="s">
        <v>11</v>
      </c>
      <c r="B13">
        <v>49495.94</v>
      </c>
    </row>
    <row r="14" spans="1:2" x14ac:dyDescent="0.25">
      <c r="A14" s="15" t="s">
        <v>12</v>
      </c>
      <c r="B14">
        <v>14220</v>
      </c>
    </row>
    <row r="15" spans="1:2" x14ac:dyDescent="0.25">
      <c r="A15" s="15" t="s">
        <v>13</v>
      </c>
      <c r="B15">
        <v>10438.140000000001</v>
      </c>
    </row>
    <row r="16" spans="1:2" x14ac:dyDescent="0.25">
      <c r="A16" s="15" t="s">
        <v>14</v>
      </c>
      <c r="B16">
        <v>1326</v>
      </c>
    </row>
    <row r="17" spans="1:2" x14ac:dyDescent="0.25">
      <c r="A17" s="15" t="s">
        <v>15</v>
      </c>
      <c r="B17">
        <v>906.91</v>
      </c>
    </row>
    <row r="18" spans="1:2" x14ac:dyDescent="0.25">
      <c r="A18" s="15" t="s">
        <v>16</v>
      </c>
      <c r="B18">
        <v>0</v>
      </c>
    </row>
    <row r="19" spans="1:2" x14ac:dyDescent="0.25">
      <c r="A19" s="15" t="s">
        <v>17</v>
      </c>
      <c r="B19">
        <v>0</v>
      </c>
    </row>
    <row r="20" spans="1:2" x14ac:dyDescent="0.25">
      <c r="A20" s="15" t="s">
        <v>18</v>
      </c>
      <c r="B20">
        <v>0</v>
      </c>
    </row>
    <row r="21" spans="1:2" x14ac:dyDescent="0.25">
      <c r="A21" s="15" t="s">
        <v>19</v>
      </c>
      <c r="B21">
        <v>0</v>
      </c>
    </row>
    <row r="22" spans="1:2" x14ac:dyDescent="0.25">
      <c r="A22" s="15" t="s">
        <v>20</v>
      </c>
      <c r="B22">
        <v>0</v>
      </c>
    </row>
    <row r="23" spans="1:2" x14ac:dyDescent="0.25">
      <c r="A23" s="15" t="s">
        <v>21</v>
      </c>
      <c r="B23">
        <v>0</v>
      </c>
    </row>
    <row r="24" spans="1:2" x14ac:dyDescent="0.25">
      <c r="A24" s="15" t="s">
        <v>22</v>
      </c>
      <c r="B24">
        <v>3877318.24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5B1D8-6FA2-4429-82A1-6188FA066569}">
  <dimension ref="A11:M626"/>
  <sheetViews>
    <sheetView tabSelected="1" workbookViewId="0">
      <pane xSplit="3" ySplit="14" topLeftCell="D149" activePane="bottomRight" state="frozen"/>
      <selection pane="topRight" activeCell="D1" sqref="D1"/>
      <selection pane="bottomLeft" activeCell="A15" sqref="A15"/>
      <selection pane="bottomRight" activeCell="J629" sqref="J629"/>
    </sheetView>
  </sheetViews>
  <sheetFormatPr defaultRowHeight="15" customHeight="1" x14ac:dyDescent="0.25"/>
  <cols>
    <col min="1" max="1" width="8.42578125" customWidth="1"/>
    <col min="2" max="2" width="17.28515625" customWidth="1"/>
    <col min="3" max="3" width="20" customWidth="1"/>
    <col min="4" max="4" width="45.28515625" style="15" bestFit="1" customWidth="1"/>
    <col min="5" max="5" width="10.7109375" style="15" customWidth="1"/>
    <col min="6" max="6" width="15.28515625" customWidth="1"/>
    <col min="7" max="7" width="8" bestFit="1" customWidth="1"/>
    <col min="8" max="8" width="14.28515625" customWidth="1"/>
    <col min="9" max="9" width="11.7109375" style="6" customWidth="1"/>
    <col min="10" max="10" width="25.7109375" customWidth="1"/>
    <col min="11" max="11" width="14.140625" bestFit="1" customWidth="1"/>
    <col min="12" max="12" width="9.7109375" customWidth="1"/>
    <col min="13" max="13" width="15.140625" customWidth="1"/>
  </cols>
  <sheetData>
    <row r="11" spans="1:13" ht="15" customHeight="1" x14ac:dyDescent="0.25">
      <c r="D11" s="15" t="s">
        <v>23</v>
      </c>
    </row>
    <row r="13" spans="1:13" x14ac:dyDescent="0.25">
      <c r="A13" s="50" t="s">
        <v>24</v>
      </c>
      <c r="B13" s="50"/>
      <c r="C13" s="42">
        <v>45957</v>
      </c>
    </row>
    <row r="14" spans="1:13" s="21" customFormat="1" ht="30" customHeight="1" x14ac:dyDescent="0.25">
      <c r="A14" s="17" t="s">
        <v>25</v>
      </c>
      <c r="B14" s="18" t="s">
        <v>26</v>
      </c>
      <c r="C14" s="18" t="s">
        <v>27</v>
      </c>
      <c r="D14" s="19" t="s">
        <v>28</v>
      </c>
      <c r="E14" s="22" t="s">
        <v>29</v>
      </c>
      <c r="F14" s="18" t="s">
        <v>30</v>
      </c>
      <c r="G14" s="18" t="s">
        <v>31</v>
      </c>
      <c r="H14" s="18" t="s">
        <v>32</v>
      </c>
      <c r="I14" s="18" t="s">
        <v>33</v>
      </c>
      <c r="J14" s="18" t="s">
        <v>34</v>
      </c>
      <c r="K14" s="20" t="s">
        <v>35</v>
      </c>
      <c r="L14" s="18" t="s">
        <v>36</v>
      </c>
      <c r="M14" s="18" t="s">
        <v>37</v>
      </c>
    </row>
    <row r="15" spans="1:13" x14ac:dyDescent="0.25">
      <c r="A15" s="7">
        <v>1</v>
      </c>
      <c r="B15" s="33" t="s">
        <v>38</v>
      </c>
      <c r="C15" s="23">
        <v>570909130106</v>
      </c>
      <c r="D15" s="13" t="s">
        <v>39</v>
      </c>
      <c r="E15" s="1">
        <f>Table1[[#This Row],[QUANTITY]]-Table1[[#This Row],[CONSUMPTION]]</f>
        <v>3</v>
      </c>
      <c r="F15" s="1">
        <f>3</f>
        <v>3</v>
      </c>
      <c r="G15" s="1" t="s">
        <v>40</v>
      </c>
      <c r="H15" s="28">
        <v>2418.6999999999998</v>
      </c>
      <c r="I15" s="31">
        <f t="shared" ref="I15:I78" si="0">H15*E15</f>
        <v>7256.0999999999995</v>
      </c>
      <c r="J15" s="4" t="s">
        <v>10</v>
      </c>
      <c r="K15" s="1" t="s">
        <v>41</v>
      </c>
      <c r="L15" s="4"/>
      <c r="M15" s="4"/>
    </row>
    <row r="16" spans="1:13" x14ac:dyDescent="0.25">
      <c r="A16" s="7">
        <v>2</v>
      </c>
      <c r="B16" s="33" t="s">
        <v>42</v>
      </c>
      <c r="C16" s="2">
        <v>570909130107</v>
      </c>
      <c r="D16" s="13" t="s">
        <v>43</v>
      </c>
      <c r="E16" s="1">
        <f>Table1[[#This Row],[QUANTITY]]-Table1[[#This Row],[CONSUMPTION]]</f>
        <v>3</v>
      </c>
      <c r="F16" s="1">
        <v>3</v>
      </c>
      <c r="G16" s="1" t="s">
        <v>40</v>
      </c>
      <c r="H16" s="4">
        <v>925.38</v>
      </c>
      <c r="I16" s="31">
        <f t="shared" si="0"/>
        <v>2776.14</v>
      </c>
      <c r="J16" s="4" t="s">
        <v>10</v>
      </c>
      <c r="K16" s="1" t="s">
        <v>44</v>
      </c>
      <c r="L16" s="4"/>
      <c r="M16" s="4"/>
    </row>
    <row r="17" spans="1:13" x14ac:dyDescent="0.25">
      <c r="A17" s="7">
        <v>3</v>
      </c>
      <c r="B17" s="33"/>
      <c r="C17" s="2"/>
      <c r="D17" s="13" t="s">
        <v>45</v>
      </c>
      <c r="E17" s="1">
        <f>Table1[[#This Row],[QUANTITY]]-Table1[[#This Row],[CONSUMPTION]]</f>
        <v>3</v>
      </c>
      <c r="F17" s="1">
        <v>3</v>
      </c>
      <c r="G17" s="1" t="s">
        <v>40</v>
      </c>
      <c r="H17" s="4"/>
      <c r="I17" s="31">
        <f t="shared" si="0"/>
        <v>0</v>
      </c>
      <c r="J17" s="4" t="s">
        <v>10</v>
      </c>
      <c r="K17" s="1" t="s">
        <v>46</v>
      </c>
      <c r="L17" s="4"/>
      <c r="M17" s="4"/>
    </row>
    <row r="18" spans="1:13" x14ac:dyDescent="0.25">
      <c r="A18" s="7">
        <v>4</v>
      </c>
      <c r="B18" s="33" t="s">
        <v>47</v>
      </c>
      <c r="C18" s="2">
        <v>570978130102</v>
      </c>
      <c r="D18" s="13" t="s">
        <v>48</v>
      </c>
      <c r="E18" s="1">
        <f>Table1[[#This Row],[QUANTITY]]-Table1[[#This Row],[CONSUMPTION]]</f>
        <v>2</v>
      </c>
      <c r="F18" s="1">
        <v>3</v>
      </c>
      <c r="G18" s="1" t="s">
        <v>40</v>
      </c>
      <c r="H18" s="4"/>
      <c r="I18" s="31">
        <f t="shared" si="0"/>
        <v>0</v>
      </c>
      <c r="J18" s="4" t="s">
        <v>49</v>
      </c>
      <c r="K18" s="1" t="s">
        <v>44</v>
      </c>
      <c r="L18" s="4">
        <v>1</v>
      </c>
      <c r="M18" s="4"/>
    </row>
    <row r="19" spans="1:13" x14ac:dyDescent="0.25">
      <c r="A19" s="7">
        <v>5</v>
      </c>
      <c r="B19" s="33"/>
      <c r="C19" s="2">
        <v>5023603</v>
      </c>
      <c r="D19" s="13" t="s">
        <v>50</v>
      </c>
      <c r="E19" s="1">
        <f>Table1[[#This Row],[QUANTITY]]-Table1[[#This Row],[CONSUMPTION]]</f>
        <v>1</v>
      </c>
      <c r="F19" s="1">
        <v>1</v>
      </c>
      <c r="G19" s="1" t="s">
        <v>40</v>
      </c>
      <c r="H19" s="4"/>
      <c r="I19" s="31">
        <f t="shared" si="0"/>
        <v>0</v>
      </c>
      <c r="J19" s="4" t="s">
        <v>10</v>
      </c>
      <c r="K19" s="1" t="s">
        <v>44</v>
      </c>
      <c r="L19" s="4"/>
      <c r="M19" s="4"/>
    </row>
    <row r="20" spans="1:13" x14ac:dyDescent="0.25">
      <c r="A20" s="7">
        <v>6</v>
      </c>
      <c r="B20" s="33"/>
      <c r="C20" s="2">
        <v>700704426073</v>
      </c>
      <c r="D20" s="13" t="s">
        <v>51</v>
      </c>
      <c r="E20" s="1">
        <f>Table1[[#This Row],[QUANTITY]]-Table1[[#This Row],[CONSUMPTION]]</f>
        <v>1</v>
      </c>
      <c r="F20" s="1">
        <v>1</v>
      </c>
      <c r="G20" s="1" t="s">
        <v>40</v>
      </c>
      <c r="H20" s="4"/>
      <c r="I20" s="31">
        <f t="shared" si="0"/>
        <v>0</v>
      </c>
      <c r="J20" s="4" t="s">
        <v>10</v>
      </c>
      <c r="K20" s="1" t="s">
        <v>44</v>
      </c>
      <c r="L20" s="4"/>
      <c r="M20" s="4"/>
    </row>
    <row r="21" spans="1:13" x14ac:dyDescent="0.25">
      <c r="A21" s="7">
        <v>7</v>
      </c>
      <c r="B21" s="33"/>
      <c r="C21" s="2">
        <v>503929300101</v>
      </c>
      <c r="D21" s="13" t="s">
        <v>52</v>
      </c>
      <c r="E21" s="1">
        <f>Table1[[#This Row],[QUANTITY]]-Table1[[#This Row],[CONSUMPTION]]</f>
        <v>1</v>
      </c>
      <c r="F21" s="1">
        <v>1</v>
      </c>
      <c r="G21" s="1" t="s">
        <v>40</v>
      </c>
      <c r="H21" s="4"/>
      <c r="I21" s="31">
        <f t="shared" si="0"/>
        <v>0</v>
      </c>
      <c r="J21" s="4" t="s">
        <v>10</v>
      </c>
      <c r="K21" s="1" t="s">
        <v>44</v>
      </c>
      <c r="L21" s="4"/>
      <c r="M21" s="4"/>
    </row>
    <row r="22" spans="1:13" x14ac:dyDescent="0.25">
      <c r="A22" s="7">
        <v>8</v>
      </c>
      <c r="B22" s="33" t="s">
        <v>53</v>
      </c>
      <c r="C22" s="2" t="s">
        <v>54</v>
      </c>
      <c r="D22" s="13" t="s">
        <v>55</v>
      </c>
      <c r="E22" s="1">
        <f>Table1[[#This Row],[QUANTITY]]-Table1[[#This Row],[CONSUMPTION]]</f>
        <v>11</v>
      </c>
      <c r="F22" s="1">
        <v>12</v>
      </c>
      <c r="G22" s="1" t="s">
        <v>40</v>
      </c>
      <c r="H22" s="28">
        <v>27418.5</v>
      </c>
      <c r="I22" s="31">
        <f t="shared" si="0"/>
        <v>301603.5</v>
      </c>
      <c r="J22" s="4" t="s">
        <v>3</v>
      </c>
      <c r="K22" s="1" t="s">
        <v>56</v>
      </c>
      <c r="L22" s="4">
        <v>1</v>
      </c>
      <c r="M22" s="4" t="s">
        <v>57</v>
      </c>
    </row>
    <row r="23" spans="1:13" x14ac:dyDescent="0.25">
      <c r="A23" s="7">
        <v>9</v>
      </c>
      <c r="B23" s="33">
        <v>221015268785</v>
      </c>
      <c r="C23" s="2" t="s">
        <v>58</v>
      </c>
      <c r="D23" s="13" t="s">
        <v>59</v>
      </c>
      <c r="E23" s="1">
        <f>Table1[[#This Row],[QUANTITY]]-Table1[[#This Row],[CONSUMPTION]]</f>
        <v>3</v>
      </c>
      <c r="F23" s="1">
        <v>3</v>
      </c>
      <c r="G23" s="1" t="s">
        <v>40</v>
      </c>
      <c r="H23" s="28">
        <v>13236.75</v>
      </c>
      <c r="I23" s="31">
        <f t="shared" si="0"/>
        <v>39710.25</v>
      </c>
      <c r="J23" s="4" t="s">
        <v>3</v>
      </c>
      <c r="K23" s="1" t="s">
        <v>56</v>
      </c>
      <c r="L23" s="4"/>
      <c r="M23" s="4"/>
    </row>
    <row r="24" spans="1:13" x14ac:dyDescent="0.25">
      <c r="A24" s="7">
        <v>10</v>
      </c>
      <c r="B24" s="2">
        <v>311715000007</v>
      </c>
      <c r="C24" s="2"/>
      <c r="D24" s="13" t="s">
        <v>60</v>
      </c>
      <c r="E24" s="1">
        <f>Table1[[#This Row],[QUANTITY]]-Table1[[#This Row],[CONSUMPTION]]</f>
        <v>52</v>
      </c>
      <c r="F24" s="1">
        <v>52</v>
      </c>
      <c r="G24" s="1" t="s">
        <v>40</v>
      </c>
      <c r="H24" s="4">
        <v>6</v>
      </c>
      <c r="I24" s="31">
        <f t="shared" si="0"/>
        <v>312</v>
      </c>
      <c r="J24" s="4" t="s">
        <v>10</v>
      </c>
      <c r="K24" s="1" t="s">
        <v>61</v>
      </c>
      <c r="L24" s="4"/>
      <c r="M24" s="4"/>
    </row>
    <row r="25" spans="1:13" x14ac:dyDescent="0.25">
      <c r="A25" s="7">
        <v>11</v>
      </c>
      <c r="B25" s="2">
        <v>311715000009</v>
      </c>
      <c r="C25" s="2"/>
      <c r="D25" s="13" t="s">
        <v>62</v>
      </c>
      <c r="E25" s="1">
        <f>Table1[[#This Row],[QUANTITY]]-Table1[[#This Row],[CONSUMPTION]]</f>
        <v>92</v>
      </c>
      <c r="F25" s="1">
        <v>92</v>
      </c>
      <c r="G25" s="1" t="s">
        <v>40</v>
      </c>
      <c r="H25" s="4">
        <v>240</v>
      </c>
      <c r="I25" s="31">
        <f t="shared" si="0"/>
        <v>22080</v>
      </c>
      <c r="J25" s="4" t="s">
        <v>10</v>
      </c>
      <c r="K25" s="1" t="s">
        <v>61</v>
      </c>
      <c r="L25" s="4"/>
      <c r="M25" s="4"/>
    </row>
    <row r="26" spans="1:13" x14ac:dyDescent="0.25">
      <c r="A26" s="7">
        <v>12</v>
      </c>
      <c r="B26" s="33"/>
      <c r="C26" s="2"/>
      <c r="D26" s="13" t="s">
        <v>63</v>
      </c>
      <c r="E26" s="1">
        <f>Table1[[#This Row],[QUANTITY]]-Table1[[#This Row],[CONSUMPTION]]</f>
        <v>100</v>
      </c>
      <c r="F26" s="1">
        <v>100</v>
      </c>
      <c r="G26" s="1" t="s">
        <v>40</v>
      </c>
      <c r="H26" s="4"/>
      <c r="I26" s="31">
        <f t="shared" si="0"/>
        <v>0</v>
      </c>
      <c r="J26" s="4" t="s">
        <v>10</v>
      </c>
      <c r="K26" s="1" t="s">
        <v>61</v>
      </c>
      <c r="L26" s="4"/>
      <c r="M26" s="4"/>
    </row>
    <row r="27" spans="1:13" x14ac:dyDescent="0.25">
      <c r="A27" s="7">
        <v>13</v>
      </c>
      <c r="B27" s="2" t="s">
        <v>64</v>
      </c>
      <c r="C27" s="2"/>
      <c r="D27" s="13" t="s">
        <v>65</v>
      </c>
      <c r="E27" s="1">
        <f>Table1[[#This Row],[QUANTITY]]-Table1[[#This Row],[CONSUMPTION]]</f>
        <v>94</v>
      </c>
      <c r="F27" s="1">
        <v>94</v>
      </c>
      <c r="G27" s="1" t="s">
        <v>40</v>
      </c>
      <c r="H27" s="4">
        <v>6.15</v>
      </c>
      <c r="I27" s="31">
        <f t="shared" si="0"/>
        <v>578.1</v>
      </c>
      <c r="J27" s="4" t="s">
        <v>10</v>
      </c>
      <c r="K27" s="1" t="s">
        <v>61</v>
      </c>
      <c r="L27" s="4"/>
      <c r="M27" s="4"/>
    </row>
    <row r="28" spans="1:13" x14ac:dyDescent="0.25">
      <c r="A28" s="7">
        <v>14</v>
      </c>
      <c r="B28" s="33"/>
      <c r="C28" s="2">
        <v>56922728701</v>
      </c>
      <c r="D28" s="13" t="s">
        <v>66</v>
      </c>
      <c r="E28" s="1">
        <f>Table1[[#This Row],[QUANTITY]]-Table1[[#This Row],[CONSUMPTION]]</f>
        <v>10</v>
      </c>
      <c r="F28" s="1">
        <v>10</v>
      </c>
      <c r="G28" s="1" t="s">
        <v>40</v>
      </c>
      <c r="H28" s="4"/>
      <c r="I28" s="31">
        <f t="shared" si="0"/>
        <v>0</v>
      </c>
      <c r="J28" s="4" t="s">
        <v>10</v>
      </c>
      <c r="K28" s="1" t="s">
        <v>67</v>
      </c>
      <c r="L28" s="4"/>
      <c r="M28" s="4"/>
    </row>
    <row r="29" spans="1:13" x14ac:dyDescent="0.25">
      <c r="A29" s="7">
        <v>15</v>
      </c>
      <c r="B29" s="33"/>
      <c r="C29" s="2">
        <v>5612771861</v>
      </c>
      <c r="D29" s="13" t="s">
        <v>68</v>
      </c>
      <c r="E29" s="1">
        <f>Table1[[#This Row],[QUANTITY]]-Table1[[#This Row],[CONSUMPTION]]</f>
        <v>2</v>
      </c>
      <c r="F29" s="1">
        <v>2</v>
      </c>
      <c r="G29" s="1" t="s">
        <v>40</v>
      </c>
      <c r="H29" s="4"/>
      <c r="I29" s="31">
        <f t="shared" si="0"/>
        <v>0</v>
      </c>
      <c r="J29" s="4" t="s">
        <v>10</v>
      </c>
      <c r="K29" s="1" t="s">
        <v>67</v>
      </c>
      <c r="L29" s="4"/>
      <c r="M29" s="4"/>
    </row>
    <row r="30" spans="1:13" x14ac:dyDescent="0.25">
      <c r="A30" s="7">
        <v>16</v>
      </c>
      <c r="B30" s="33"/>
      <c r="C30" s="2"/>
      <c r="D30" s="13" t="s">
        <v>69</v>
      </c>
      <c r="E30" s="1">
        <f>Table1[[#This Row],[QUANTITY]]-Table1[[#This Row],[CONSUMPTION]]</f>
        <v>4</v>
      </c>
      <c r="F30" s="1">
        <v>4</v>
      </c>
      <c r="G30" s="1" t="s">
        <v>40</v>
      </c>
      <c r="H30" s="4"/>
      <c r="I30" s="31">
        <f t="shared" si="0"/>
        <v>0</v>
      </c>
      <c r="J30" s="4" t="s">
        <v>10</v>
      </c>
      <c r="K30" s="1" t="s">
        <v>61</v>
      </c>
      <c r="L30" s="4"/>
      <c r="M30" s="4"/>
    </row>
    <row r="31" spans="1:13" x14ac:dyDescent="0.25">
      <c r="A31" s="7">
        <v>17</v>
      </c>
      <c r="B31" s="33"/>
      <c r="C31" s="2"/>
      <c r="D31" s="13" t="s">
        <v>70</v>
      </c>
      <c r="E31" s="1">
        <f>Table1[[#This Row],[QUANTITY]]-Table1[[#This Row],[CONSUMPTION]]</f>
        <v>1</v>
      </c>
      <c r="F31" s="1">
        <v>1</v>
      </c>
      <c r="G31" s="1" t="s">
        <v>40</v>
      </c>
      <c r="H31" s="4"/>
      <c r="I31" s="31">
        <f t="shared" si="0"/>
        <v>0</v>
      </c>
      <c r="J31" s="4" t="s">
        <v>10</v>
      </c>
      <c r="K31" s="1" t="s">
        <v>71</v>
      </c>
      <c r="L31" s="4"/>
      <c r="M31" s="4"/>
    </row>
    <row r="32" spans="1:13" x14ac:dyDescent="0.25">
      <c r="A32" s="7">
        <v>18</v>
      </c>
      <c r="B32" s="33"/>
      <c r="C32" s="2">
        <v>4330169300</v>
      </c>
      <c r="D32" s="13" t="s">
        <v>72</v>
      </c>
      <c r="E32" s="1">
        <f>Table1[[#This Row],[QUANTITY]]-Table1[[#This Row],[CONSUMPTION]]</f>
        <v>7</v>
      </c>
      <c r="F32" s="1">
        <v>9</v>
      </c>
      <c r="G32" s="1" t="s">
        <v>40</v>
      </c>
      <c r="H32" s="4"/>
      <c r="I32" s="31">
        <f t="shared" si="0"/>
        <v>0</v>
      </c>
      <c r="J32" s="4" t="s">
        <v>10</v>
      </c>
      <c r="K32" s="1" t="s">
        <v>73</v>
      </c>
      <c r="L32" s="4">
        <v>2</v>
      </c>
      <c r="M32" s="4"/>
    </row>
    <row r="33" spans="1:13" x14ac:dyDescent="0.25">
      <c r="A33" s="7">
        <v>19</v>
      </c>
      <c r="B33" s="33"/>
      <c r="C33" s="2">
        <v>31201600049</v>
      </c>
      <c r="D33" s="13" t="s">
        <v>74</v>
      </c>
      <c r="E33" s="1">
        <f>Table1[[#This Row],[QUANTITY]]-Table1[[#This Row],[CONSUMPTION]]</f>
        <v>5</v>
      </c>
      <c r="F33" s="1">
        <v>5</v>
      </c>
      <c r="G33" s="1" t="s">
        <v>40</v>
      </c>
      <c r="H33" s="4"/>
      <c r="I33" s="31">
        <f t="shared" si="0"/>
        <v>0</v>
      </c>
      <c r="J33" s="4" t="s">
        <v>10</v>
      </c>
      <c r="K33" s="1" t="s">
        <v>75</v>
      </c>
      <c r="L33" s="4"/>
      <c r="M33" s="4"/>
    </row>
    <row r="34" spans="1:13" x14ac:dyDescent="0.25">
      <c r="A34" s="7">
        <v>20</v>
      </c>
      <c r="B34" s="33"/>
      <c r="C34" s="2" t="s">
        <v>76</v>
      </c>
      <c r="D34" s="13" t="s">
        <v>77</v>
      </c>
      <c r="E34" s="1">
        <f>Table1[[#This Row],[QUANTITY]]-Table1[[#This Row],[CONSUMPTION]]</f>
        <v>36</v>
      </c>
      <c r="F34" s="1">
        <v>40</v>
      </c>
      <c r="G34" s="1" t="s">
        <v>40</v>
      </c>
      <c r="H34" s="4"/>
      <c r="I34" s="31">
        <f t="shared" si="0"/>
        <v>0</v>
      </c>
      <c r="J34" s="4" t="s">
        <v>10</v>
      </c>
      <c r="K34" s="1" t="s">
        <v>75</v>
      </c>
      <c r="L34" s="4">
        <v>4</v>
      </c>
      <c r="M34" s="4" t="s">
        <v>78</v>
      </c>
    </row>
    <row r="35" spans="1:13" x14ac:dyDescent="0.25">
      <c r="A35" s="7">
        <v>21</v>
      </c>
      <c r="B35" s="33"/>
      <c r="C35" s="2"/>
      <c r="D35" s="13" t="s">
        <v>79</v>
      </c>
      <c r="E35" s="1">
        <f>Table1[[#This Row],[QUANTITY]]-Table1[[#This Row],[CONSUMPTION]]</f>
        <v>10</v>
      </c>
      <c r="F35" s="1">
        <v>10</v>
      </c>
      <c r="G35" s="1" t="s">
        <v>40</v>
      </c>
      <c r="H35" s="4"/>
      <c r="I35" s="31">
        <f t="shared" si="0"/>
        <v>0</v>
      </c>
      <c r="J35" s="4" t="s">
        <v>10</v>
      </c>
      <c r="K35" s="1" t="s">
        <v>75</v>
      </c>
      <c r="L35" s="4"/>
      <c r="M35" s="4"/>
    </row>
    <row r="36" spans="1:13" x14ac:dyDescent="0.25">
      <c r="A36" s="7">
        <v>22</v>
      </c>
      <c r="B36" s="33"/>
      <c r="C36" s="2"/>
      <c r="D36" s="13" t="s">
        <v>80</v>
      </c>
      <c r="E36" s="1">
        <f>Table1[[#This Row],[QUANTITY]]-Table1[[#This Row],[CONSUMPTION]]</f>
        <v>2</v>
      </c>
      <c r="F36" s="1">
        <v>2</v>
      </c>
      <c r="G36" s="1" t="s">
        <v>40</v>
      </c>
      <c r="H36" s="4"/>
      <c r="I36" s="31">
        <f t="shared" si="0"/>
        <v>0</v>
      </c>
      <c r="J36" s="4" t="s">
        <v>10</v>
      </c>
      <c r="K36" s="1" t="s">
        <v>75</v>
      </c>
      <c r="L36" s="4"/>
      <c r="M36" s="4"/>
    </row>
    <row r="37" spans="1:13" x14ac:dyDescent="0.25">
      <c r="A37" s="7">
        <v>23</v>
      </c>
      <c r="B37" s="33"/>
      <c r="C37" s="2"/>
      <c r="D37" s="13" t="s">
        <v>81</v>
      </c>
      <c r="E37" s="1">
        <f>Table1[[#This Row],[QUANTITY]]-Table1[[#This Row],[CONSUMPTION]]</f>
        <v>8</v>
      </c>
      <c r="F37" s="1">
        <v>8</v>
      </c>
      <c r="G37" s="1" t="s">
        <v>40</v>
      </c>
      <c r="H37" s="4"/>
      <c r="I37" s="31">
        <f t="shared" si="0"/>
        <v>0</v>
      </c>
      <c r="J37" s="4" t="s">
        <v>10</v>
      </c>
      <c r="K37" s="1" t="s">
        <v>75</v>
      </c>
      <c r="L37" s="4"/>
      <c r="M37" s="4"/>
    </row>
    <row r="38" spans="1:13" x14ac:dyDescent="0.25">
      <c r="A38" s="7">
        <v>24</v>
      </c>
      <c r="B38" s="33"/>
      <c r="C38" s="2">
        <v>13016000152</v>
      </c>
      <c r="D38" s="13" t="s">
        <v>82</v>
      </c>
      <c r="E38" s="1">
        <f>Table1[[#This Row],[QUANTITY]]-Table1[[#This Row],[CONSUMPTION]]</f>
        <v>4</v>
      </c>
      <c r="F38" s="1">
        <v>4</v>
      </c>
      <c r="G38" s="1" t="s">
        <v>40</v>
      </c>
      <c r="H38" s="4"/>
      <c r="I38" s="31">
        <f t="shared" si="0"/>
        <v>0</v>
      </c>
      <c r="J38" s="4" t="s">
        <v>10</v>
      </c>
      <c r="K38" s="1" t="s">
        <v>75</v>
      </c>
      <c r="L38" s="4"/>
      <c r="M38" s="4"/>
    </row>
    <row r="39" spans="1:13" x14ac:dyDescent="0.25">
      <c r="A39" s="7">
        <v>25</v>
      </c>
      <c r="B39" s="33"/>
      <c r="C39" s="2"/>
      <c r="D39" s="13" t="s">
        <v>83</v>
      </c>
      <c r="E39" s="1">
        <f>Table1[[#This Row],[QUANTITY]]-Table1[[#This Row],[CONSUMPTION]]</f>
        <v>20</v>
      </c>
      <c r="F39" s="1">
        <v>35</v>
      </c>
      <c r="G39" s="1" t="s">
        <v>40</v>
      </c>
      <c r="H39" s="4"/>
      <c r="I39" s="31">
        <f t="shared" si="0"/>
        <v>0</v>
      </c>
      <c r="J39" s="4" t="s">
        <v>10</v>
      </c>
      <c r="K39" s="1" t="s">
        <v>75</v>
      </c>
      <c r="L39" s="4">
        <f>9+4+2</f>
        <v>15</v>
      </c>
      <c r="M39" s="4"/>
    </row>
    <row r="40" spans="1:13" x14ac:dyDescent="0.25">
      <c r="A40" s="7">
        <v>26</v>
      </c>
      <c r="B40" s="33"/>
      <c r="C40" s="2">
        <v>123500000135</v>
      </c>
      <c r="D40" s="13" t="s">
        <v>84</v>
      </c>
      <c r="E40" s="1">
        <f>Table1[[#This Row],[QUANTITY]]-Table1[[#This Row],[CONSUMPTION]]</f>
        <v>24</v>
      </c>
      <c r="F40" s="1">
        <v>27</v>
      </c>
      <c r="G40" s="1" t="s">
        <v>40</v>
      </c>
      <c r="H40" s="4"/>
      <c r="I40" s="31">
        <f t="shared" si="0"/>
        <v>0</v>
      </c>
      <c r="J40" s="4" t="s">
        <v>10</v>
      </c>
      <c r="K40" s="1" t="s">
        <v>75</v>
      </c>
      <c r="L40" s="4">
        <v>3</v>
      </c>
      <c r="M40" s="4"/>
    </row>
    <row r="41" spans="1:13" x14ac:dyDescent="0.25">
      <c r="A41" s="7">
        <v>27</v>
      </c>
      <c r="B41" s="33"/>
      <c r="C41" s="2">
        <v>7025001019</v>
      </c>
      <c r="D41" s="13" t="s">
        <v>85</v>
      </c>
      <c r="E41" s="1">
        <f>Table1[[#This Row],[QUANTITY]]-Table1[[#This Row],[CONSUMPTION]]</f>
        <v>17</v>
      </c>
      <c r="F41" s="1">
        <v>19</v>
      </c>
      <c r="G41" s="1" t="s">
        <v>40</v>
      </c>
      <c r="H41" s="4"/>
      <c r="I41" s="31">
        <f t="shared" si="0"/>
        <v>0</v>
      </c>
      <c r="J41" s="4" t="s">
        <v>10</v>
      </c>
      <c r="K41" s="1" t="s">
        <v>86</v>
      </c>
      <c r="L41" s="4">
        <v>2</v>
      </c>
      <c r="M41" s="4"/>
    </row>
    <row r="42" spans="1:13" x14ac:dyDescent="0.25">
      <c r="A42" s="7">
        <v>28</v>
      </c>
      <c r="B42" s="33"/>
      <c r="C42" s="2">
        <v>151215090002</v>
      </c>
      <c r="D42" s="13" t="s">
        <v>87</v>
      </c>
      <c r="E42" s="1">
        <f>Table1[[#This Row],[QUANTITY]]-Table1[[#This Row],[CONSUMPTION]]</f>
        <v>16</v>
      </c>
      <c r="F42" s="1">
        <v>16</v>
      </c>
      <c r="G42" s="1" t="s">
        <v>40</v>
      </c>
      <c r="H42" s="4"/>
      <c r="I42" s="31">
        <f t="shared" si="0"/>
        <v>0</v>
      </c>
      <c r="J42" s="4" t="s">
        <v>10</v>
      </c>
      <c r="K42" s="1" t="s">
        <v>86</v>
      </c>
      <c r="L42" s="4"/>
      <c r="M42" s="4"/>
    </row>
    <row r="43" spans="1:13" x14ac:dyDescent="0.25">
      <c r="A43" s="7">
        <v>29</v>
      </c>
      <c r="B43" s="33"/>
      <c r="C43" s="2"/>
      <c r="D43" s="13" t="s">
        <v>88</v>
      </c>
      <c r="E43" s="1">
        <f>Table1[[#This Row],[QUANTITY]]-Table1[[#This Row],[CONSUMPTION]]</f>
        <v>2</v>
      </c>
      <c r="F43" s="1">
        <v>2</v>
      </c>
      <c r="G43" s="1" t="s">
        <v>40</v>
      </c>
      <c r="H43" s="4"/>
      <c r="I43" s="31">
        <f t="shared" si="0"/>
        <v>0</v>
      </c>
      <c r="J43" s="4" t="s">
        <v>10</v>
      </c>
      <c r="K43" s="1" t="s">
        <v>86</v>
      </c>
      <c r="L43" s="4"/>
      <c r="M43" s="4"/>
    </row>
    <row r="44" spans="1:13" x14ac:dyDescent="0.25">
      <c r="A44" s="7">
        <v>30</v>
      </c>
      <c r="B44" s="33"/>
      <c r="C44" s="2"/>
      <c r="D44" s="13" t="s">
        <v>89</v>
      </c>
      <c r="E44" s="1">
        <f>Table1[[#This Row],[QUANTITY]]-Table1[[#This Row],[CONSUMPTION]]</f>
        <v>5</v>
      </c>
      <c r="F44" s="1">
        <v>5</v>
      </c>
      <c r="G44" s="1" t="s">
        <v>40</v>
      </c>
      <c r="H44" s="4"/>
      <c r="I44" s="31">
        <f t="shared" si="0"/>
        <v>0</v>
      </c>
      <c r="J44" s="4" t="s">
        <v>10</v>
      </c>
      <c r="K44" s="1" t="s">
        <v>86</v>
      </c>
      <c r="L44" s="4"/>
      <c r="M44" s="4"/>
    </row>
    <row r="45" spans="1:13" x14ac:dyDescent="0.25">
      <c r="A45" s="7">
        <v>31</v>
      </c>
      <c r="B45" s="33"/>
      <c r="C45" s="2"/>
      <c r="D45" s="13" t="s">
        <v>90</v>
      </c>
      <c r="E45" s="1">
        <f>Table1[[#This Row],[QUANTITY]]-Table1[[#This Row],[CONSUMPTION]]</f>
        <v>9</v>
      </c>
      <c r="F45" s="1">
        <v>16</v>
      </c>
      <c r="G45" s="1" t="s">
        <v>40</v>
      </c>
      <c r="H45" s="4"/>
      <c r="I45" s="31">
        <f t="shared" si="0"/>
        <v>0</v>
      </c>
      <c r="J45" s="4" t="s">
        <v>10</v>
      </c>
      <c r="K45" s="1" t="s">
        <v>86</v>
      </c>
      <c r="L45" s="4">
        <v>7</v>
      </c>
      <c r="M45" s="38">
        <v>45920</v>
      </c>
    </row>
    <row r="46" spans="1:13" x14ac:dyDescent="0.25">
      <c r="A46" s="7">
        <v>32</v>
      </c>
      <c r="B46" s="33"/>
      <c r="C46" s="2" t="s">
        <v>91</v>
      </c>
      <c r="D46" s="13" t="s">
        <v>92</v>
      </c>
      <c r="E46" s="1">
        <f>Table1[[#This Row],[QUANTITY]]-Table1[[#This Row],[CONSUMPTION]]</f>
        <v>10</v>
      </c>
      <c r="F46" s="1">
        <v>10</v>
      </c>
      <c r="G46" s="1" t="s">
        <v>40</v>
      </c>
      <c r="H46" s="4"/>
      <c r="I46" s="31">
        <f t="shared" si="0"/>
        <v>0</v>
      </c>
      <c r="J46" s="4" t="s">
        <v>10</v>
      </c>
      <c r="K46" s="1" t="s">
        <v>93</v>
      </c>
      <c r="L46" s="4"/>
      <c r="M46" s="4"/>
    </row>
    <row r="47" spans="1:13" x14ac:dyDescent="0.25">
      <c r="A47" s="7">
        <v>33</v>
      </c>
      <c r="B47" s="33"/>
      <c r="C47" s="2"/>
      <c r="D47" s="13" t="s">
        <v>94</v>
      </c>
      <c r="E47" s="1">
        <f>Table1[[#This Row],[QUANTITY]]-Table1[[#This Row],[CONSUMPTION]]</f>
        <v>5</v>
      </c>
      <c r="F47" s="1">
        <v>6</v>
      </c>
      <c r="G47" s="1" t="s">
        <v>40</v>
      </c>
      <c r="H47" s="4"/>
      <c r="I47" s="31">
        <f t="shared" si="0"/>
        <v>0</v>
      </c>
      <c r="J47" s="4" t="s">
        <v>10</v>
      </c>
      <c r="K47" s="1" t="s">
        <v>93</v>
      </c>
      <c r="L47" s="4">
        <v>1</v>
      </c>
      <c r="M47" s="4"/>
    </row>
    <row r="48" spans="1:13" x14ac:dyDescent="0.25">
      <c r="A48" s="7">
        <v>34</v>
      </c>
      <c r="B48" s="33"/>
      <c r="C48" s="2"/>
      <c r="D48" s="13" t="s">
        <v>95</v>
      </c>
      <c r="E48" s="1">
        <f>Table1[[#This Row],[QUANTITY]]-Table1[[#This Row],[CONSUMPTION]]</f>
        <v>3</v>
      </c>
      <c r="F48" s="1">
        <v>7</v>
      </c>
      <c r="G48" s="1" t="s">
        <v>40</v>
      </c>
      <c r="H48" s="4"/>
      <c r="I48" s="31">
        <f t="shared" si="0"/>
        <v>0</v>
      </c>
      <c r="J48" s="4" t="s">
        <v>10</v>
      </c>
      <c r="K48" s="1" t="s">
        <v>96</v>
      </c>
      <c r="L48" s="4">
        <v>4</v>
      </c>
      <c r="M48" s="4"/>
    </row>
    <row r="49" spans="1:13" x14ac:dyDescent="0.25">
      <c r="A49" s="7">
        <v>35</v>
      </c>
      <c r="B49" s="33"/>
      <c r="C49" s="2"/>
      <c r="D49" s="13" t="s">
        <v>97</v>
      </c>
      <c r="E49" s="1">
        <f>Table1[[#This Row],[QUANTITY]]-Table1[[#This Row],[CONSUMPTION]]</f>
        <v>2</v>
      </c>
      <c r="F49" s="1">
        <v>2</v>
      </c>
      <c r="G49" s="1" t="s">
        <v>40</v>
      </c>
      <c r="H49" s="4"/>
      <c r="I49" s="31">
        <f t="shared" si="0"/>
        <v>0</v>
      </c>
      <c r="J49" s="4" t="s">
        <v>10</v>
      </c>
      <c r="K49" s="1" t="s">
        <v>96</v>
      </c>
      <c r="L49" s="4"/>
      <c r="M49" s="4"/>
    </row>
    <row r="50" spans="1:13" x14ac:dyDescent="0.25">
      <c r="A50" s="7">
        <v>36</v>
      </c>
      <c r="B50" s="33"/>
      <c r="C50" s="2" t="s">
        <v>98</v>
      </c>
      <c r="D50" s="13" t="s">
        <v>99</v>
      </c>
      <c r="E50" s="1">
        <f>Table1[[#This Row],[QUANTITY]]-Table1[[#This Row],[CONSUMPTION]]</f>
        <v>5</v>
      </c>
      <c r="F50" s="1">
        <v>7</v>
      </c>
      <c r="G50" s="1" t="s">
        <v>40</v>
      </c>
      <c r="H50" s="4"/>
      <c r="I50" s="31">
        <f t="shared" si="0"/>
        <v>0</v>
      </c>
      <c r="J50" s="4" t="s">
        <v>10</v>
      </c>
      <c r="K50" s="1" t="s">
        <v>100</v>
      </c>
      <c r="L50" s="4">
        <v>2</v>
      </c>
      <c r="M50" s="4" t="s">
        <v>101</v>
      </c>
    </row>
    <row r="51" spans="1:13" x14ac:dyDescent="0.25">
      <c r="A51" s="7">
        <v>37</v>
      </c>
      <c r="B51" s="33"/>
      <c r="C51" s="2" t="s">
        <v>102</v>
      </c>
      <c r="D51" s="13" t="s">
        <v>99</v>
      </c>
      <c r="E51" s="1">
        <f>Table1[[#This Row],[QUANTITY]]-Table1[[#This Row],[CONSUMPTION]]</f>
        <v>7</v>
      </c>
      <c r="F51" s="1">
        <v>8</v>
      </c>
      <c r="G51" s="1" t="s">
        <v>40</v>
      </c>
      <c r="H51" s="4"/>
      <c r="I51" s="31">
        <f t="shared" si="0"/>
        <v>0</v>
      </c>
      <c r="J51" s="4" t="s">
        <v>10</v>
      </c>
      <c r="K51" s="1" t="s">
        <v>100</v>
      </c>
      <c r="L51" s="4">
        <v>1</v>
      </c>
      <c r="M51" s="4" t="s">
        <v>103</v>
      </c>
    </row>
    <row r="52" spans="1:13" x14ac:dyDescent="0.25">
      <c r="A52" s="7">
        <v>38</v>
      </c>
      <c r="B52" s="33"/>
      <c r="C52" s="2"/>
      <c r="D52" s="13" t="s">
        <v>104</v>
      </c>
      <c r="E52" s="1">
        <f>Table1[[#This Row],[QUANTITY]]-Table1[[#This Row],[CONSUMPTION]]</f>
        <v>6</v>
      </c>
      <c r="F52" s="1">
        <v>6</v>
      </c>
      <c r="G52" s="1" t="s">
        <v>40</v>
      </c>
      <c r="H52" s="4"/>
      <c r="I52" s="31">
        <f t="shared" si="0"/>
        <v>0</v>
      </c>
      <c r="J52" s="4" t="s">
        <v>10</v>
      </c>
      <c r="K52" s="1" t="s">
        <v>105</v>
      </c>
      <c r="L52" s="4"/>
      <c r="M52" s="4"/>
    </row>
    <row r="53" spans="1:13" x14ac:dyDescent="0.25">
      <c r="A53" s="7">
        <v>39</v>
      </c>
      <c r="B53" s="33"/>
      <c r="C53" s="2">
        <v>564596</v>
      </c>
      <c r="D53" s="13" t="s">
        <v>106</v>
      </c>
      <c r="E53" s="1">
        <f>Table1[[#This Row],[QUANTITY]]-Table1[[#This Row],[CONSUMPTION]]</f>
        <v>10</v>
      </c>
      <c r="F53" s="1">
        <v>14</v>
      </c>
      <c r="G53" s="1" t="s">
        <v>40</v>
      </c>
      <c r="H53" s="4"/>
      <c r="I53" s="31">
        <f t="shared" si="0"/>
        <v>0</v>
      </c>
      <c r="J53" s="4" t="s">
        <v>10</v>
      </c>
      <c r="K53" s="1" t="s">
        <v>107</v>
      </c>
      <c r="L53" s="4">
        <v>4</v>
      </c>
      <c r="M53" s="4" t="s">
        <v>108</v>
      </c>
    </row>
    <row r="54" spans="1:13" x14ac:dyDescent="0.25">
      <c r="A54" s="7">
        <v>40</v>
      </c>
      <c r="B54" s="33"/>
      <c r="C54" s="2">
        <v>50259</v>
      </c>
      <c r="D54" s="13" t="s">
        <v>109</v>
      </c>
      <c r="E54" s="1">
        <f>Table1[[#This Row],[QUANTITY]]-Table1[[#This Row],[CONSUMPTION]]</f>
        <v>6</v>
      </c>
      <c r="F54" s="1">
        <v>6</v>
      </c>
      <c r="G54" s="1" t="s">
        <v>40</v>
      </c>
      <c r="H54" s="4"/>
      <c r="I54" s="31">
        <f t="shared" si="0"/>
        <v>0</v>
      </c>
      <c r="J54" s="4" t="s">
        <v>10</v>
      </c>
      <c r="K54" s="1" t="s">
        <v>107</v>
      </c>
      <c r="L54" s="4"/>
      <c r="M54" s="4"/>
    </row>
    <row r="55" spans="1:13" x14ac:dyDescent="0.25">
      <c r="A55" s="7">
        <v>41</v>
      </c>
      <c r="B55" s="33"/>
      <c r="C55" s="2"/>
      <c r="D55" s="13" t="s">
        <v>110</v>
      </c>
      <c r="E55" s="1">
        <f>Table1[[#This Row],[QUANTITY]]-Table1[[#This Row],[CONSUMPTION]]</f>
        <v>11</v>
      </c>
      <c r="F55" s="1">
        <v>11</v>
      </c>
      <c r="G55" s="1" t="s">
        <v>40</v>
      </c>
      <c r="H55" s="4"/>
      <c r="I55" s="31">
        <f t="shared" si="0"/>
        <v>0</v>
      </c>
      <c r="J55" s="4" t="s">
        <v>10</v>
      </c>
      <c r="K55" s="1" t="s">
        <v>111</v>
      </c>
      <c r="L55" s="4"/>
      <c r="M55" s="4"/>
    </row>
    <row r="56" spans="1:13" x14ac:dyDescent="0.25">
      <c r="A56" s="7">
        <v>42</v>
      </c>
      <c r="B56" s="33"/>
      <c r="C56" s="2"/>
      <c r="D56" s="13" t="s">
        <v>112</v>
      </c>
      <c r="E56" s="1">
        <f>Table1[[#This Row],[QUANTITY]]-Table1[[#This Row],[CONSUMPTION]]</f>
        <v>1</v>
      </c>
      <c r="F56" s="1">
        <v>1</v>
      </c>
      <c r="G56" s="1" t="s">
        <v>40</v>
      </c>
      <c r="H56" s="4"/>
      <c r="I56" s="31">
        <f t="shared" si="0"/>
        <v>0</v>
      </c>
      <c r="J56" s="4" t="s">
        <v>10</v>
      </c>
      <c r="K56" s="1" t="s">
        <v>111</v>
      </c>
      <c r="L56" s="4"/>
      <c r="M56" s="4"/>
    </row>
    <row r="57" spans="1:13" x14ac:dyDescent="0.25">
      <c r="A57" s="7">
        <v>43</v>
      </c>
      <c r="B57" s="33"/>
      <c r="C57" s="2"/>
      <c r="D57" s="13" t="s">
        <v>113</v>
      </c>
      <c r="E57" s="1">
        <f>Table1[[#This Row],[QUANTITY]]-Table1[[#This Row],[CONSUMPTION]]</f>
        <v>5</v>
      </c>
      <c r="F57" s="1">
        <v>5</v>
      </c>
      <c r="G57" s="1" t="s">
        <v>40</v>
      </c>
      <c r="H57" s="4"/>
      <c r="I57" s="31">
        <f t="shared" si="0"/>
        <v>0</v>
      </c>
      <c r="J57" s="4" t="s">
        <v>10</v>
      </c>
      <c r="K57" s="1" t="s">
        <v>111</v>
      </c>
      <c r="L57" s="4"/>
      <c r="M57" s="4"/>
    </row>
    <row r="58" spans="1:13" x14ac:dyDescent="0.25">
      <c r="A58" s="7">
        <v>44</v>
      </c>
      <c r="B58" s="33"/>
      <c r="C58" s="2"/>
      <c r="D58" s="13" t="s">
        <v>114</v>
      </c>
      <c r="E58" s="1">
        <f>Table1[[#This Row],[QUANTITY]]-Table1[[#This Row],[CONSUMPTION]]</f>
        <v>1</v>
      </c>
      <c r="F58" s="1">
        <v>1</v>
      </c>
      <c r="G58" s="1" t="s">
        <v>115</v>
      </c>
      <c r="H58" s="4"/>
      <c r="I58" s="31">
        <f t="shared" si="0"/>
        <v>0</v>
      </c>
      <c r="J58" s="4" t="s">
        <v>10</v>
      </c>
      <c r="K58" s="1" t="s">
        <v>105</v>
      </c>
      <c r="L58" s="4"/>
      <c r="M58" s="4"/>
    </row>
    <row r="59" spans="1:13" x14ac:dyDescent="0.25">
      <c r="A59" s="7">
        <v>45</v>
      </c>
      <c r="B59" s="33"/>
      <c r="C59" s="2"/>
      <c r="D59" s="13" t="s">
        <v>116</v>
      </c>
      <c r="E59" s="1">
        <f>Table1[[#This Row],[QUANTITY]]-Table1[[#This Row],[CONSUMPTION]]</f>
        <v>1</v>
      </c>
      <c r="F59" s="1">
        <v>1</v>
      </c>
      <c r="G59" s="1" t="s">
        <v>40</v>
      </c>
      <c r="H59" s="4"/>
      <c r="I59" s="31">
        <f t="shared" si="0"/>
        <v>0</v>
      </c>
      <c r="J59" s="4" t="s">
        <v>10</v>
      </c>
      <c r="K59" s="1" t="s">
        <v>111</v>
      </c>
      <c r="L59" s="4"/>
      <c r="M59" s="4"/>
    </row>
    <row r="60" spans="1:13" x14ac:dyDescent="0.25">
      <c r="A60" s="7">
        <v>46</v>
      </c>
      <c r="B60" s="33"/>
      <c r="C60" s="2"/>
      <c r="D60" s="13" t="s">
        <v>117</v>
      </c>
      <c r="E60" s="1">
        <f>Table1[[#This Row],[QUANTITY]]-Table1[[#This Row],[CONSUMPTION]]</f>
        <v>4</v>
      </c>
      <c r="F60" s="1">
        <v>4</v>
      </c>
      <c r="G60" s="1" t="s">
        <v>40</v>
      </c>
      <c r="H60" s="4"/>
      <c r="I60" s="31">
        <f t="shared" si="0"/>
        <v>0</v>
      </c>
      <c r="J60" s="4" t="s">
        <v>10</v>
      </c>
      <c r="K60" s="1" t="s">
        <v>118</v>
      </c>
      <c r="L60" s="4"/>
      <c r="M60" s="4"/>
    </row>
    <row r="61" spans="1:13" x14ac:dyDescent="0.25">
      <c r="A61" s="7">
        <v>47</v>
      </c>
      <c r="B61" s="33"/>
      <c r="C61" s="2"/>
      <c r="D61" s="13" t="s">
        <v>119</v>
      </c>
      <c r="E61" s="1">
        <f>Table1[[#This Row],[QUANTITY]]-Table1[[#This Row],[CONSUMPTION]]</f>
        <v>4</v>
      </c>
      <c r="F61" s="1">
        <v>4</v>
      </c>
      <c r="G61" s="1" t="s">
        <v>40</v>
      </c>
      <c r="H61" s="4"/>
      <c r="I61" s="31">
        <f t="shared" si="0"/>
        <v>0</v>
      </c>
      <c r="J61" s="4" t="s">
        <v>10</v>
      </c>
      <c r="K61" s="1" t="s">
        <v>120</v>
      </c>
      <c r="L61" s="4"/>
      <c r="M61" s="4"/>
    </row>
    <row r="62" spans="1:13" x14ac:dyDescent="0.25">
      <c r="A62" s="7">
        <v>48</v>
      </c>
      <c r="B62" s="33"/>
      <c r="C62" s="2"/>
      <c r="D62" s="13" t="s">
        <v>121</v>
      </c>
      <c r="E62" s="1">
        <f>Table1[[#This Row],[QUANTITY]]-Table1[[#This Row],[CONSUMPTION]]</f>
        <v>4</v>
      </c>
      <c r="F62" s="1">
        <v>4</v>
      </c>
      <c r="G62" s="1" t="s">
        <v>40</v>
      </c>
      <c r="H62" s="4"/>
      <c r="I62" s="31">
        <f t="shared" si="0"/>
        <v>0</v>
      </c>
      <c r="J62" s="4" t="s">
        <v>10</v>
      </c>
      <c r="K62" s="1" t="s">
        <v>122</v>
      </c>
      <c r="L62" s="4"/>
      <c r="M62" s="4"/>
    </row>
    <row r="63" spans="1:13" x14ac:dyDescent="0.25">
      <c r="A63" s="7">
        <v>49</v>
      </c>
      <c r="B63" s="33"/>
      <c r="C63" s="2"/>
      <c r="D63" s="13" t="s">
        <v>123</v>
      </c>
      <c r="E63" s="1">
        <f>Table1[[#This Row],[QUANTITY]]-Table1[[#This Row],[CONSUMPTION]]</f>
        <v>4</v>
      </c>
      <c r="F63" s="1">
        <v>4</v>
      </c>
      <c r="G63" s="1" t="s">
        <v>40</v>
      </c>
      <c r="H63" s="4"/>
      <c r="I63" s="31">
        <f t="shared" si="0"/>
        <v>0</v>
      </c>
      <c r="J63" s="4" t="s">
        <v>10</v>
      </c>
      <c r="K63" s="1" t="s">
        <v>124</v>
      </c>
      <c r="L63" s="4"/>
      <c r="M63" s="4"/>
    </row>
    <row r="64" spans="1:13" x14ac:dyDescent="0.25">
      <c r="A64" s="7">
        <v>50</v>
      </c>
      <c r="B64" s="33"/>
      <c r="C64" s="2"/>
      <c r="D64" s="13" t="s">
        <v>125</v>
      </c>
      <c r="E64" s="1">
        <f>Table1[[#This Row],[QUANTITY]]-Table1[[#This Row],[CONSUMPTION]]</f>
        <v>1</v>
      </c>
      <c r="F64" s="1">
        <v>1</v>
      </c>
      <c r="G64" s="1" t="s">
        <v>40</v>
      </c>
      <c r="H64" s="4"/>
      <c r="I64" s="31">
        <f t="shared" si="0"/>
        <v>0</v>
      </c>
      <c r="J64" s="4" t="s">
        <v>10</v>
      </c>
      <c r="K64" s="1" t="s">
        <v>126</v>
      </c>
      <c r="L64" s="4"/>
      <c r="M64" s="4"/>
    </row>
    <row r="65" spans="1:13" x14ac:dyDescent="0.25">
      <c r="A65" s="7">
        <v>51</v>
      </c>
      <c r="B65" s="33"/>
      <c r="C65" s="2"/>
      <c r="D65" s="13" t="s">
        <v>127</v>
      </c>
      <c r="E65" s="1">
        <f>Table1[[#This Row],[QUANTITY]]-Table1[[#This Row],[CONSUMPTION]]</f>
        <v>1</v>
      </c>
      <c r="F65" s="1">
        <v>1</v>
      </c>
      <c r="G65" s="1" t="s">
        <v>40</v>
      </c>
      <c r="H65" s="4"/>
      <c r="I65" s="31">
        <f t="shared" si="0"/>
        <v>0</v>
      </c>
      <c r="J65" s="4" t="s">
        <v>10</v>
      </c>
      <c r="K65" s="1" t="s">
        <v>111</v>
      </c>
      <c r="L65" s="4"/>
      <c r="M65" s="4"/>
    </row>
    <row r="66" spans="1:13" x14ac:dyDescent="0.25">
      <c r="A66" s="7">
        <v>52</v>
      </c>
      <c r="B66" s="33"/>
      <c r="C66" s="2"/>
      <c r="D66" s="13" t="s">
        <v>128</v>
      </c>
      <c r="E66" s="1">
        <f>Table1[[#This Row],[QUANTITY]]-Table1[[#This Row],[CONSUMPTION]]</f>
        <v>2</v>
      </c>
      <c r="F66" s="1">
        <v>2</v>
      </c>
      <c r="G66" s="1" t="s">
        <v>129</v>
      </c>
      <c r="H66" s="4"/>
      <c r="I66" s="31">
        <f t="shared" si="0"/>
        <v>0</v>
      </c>
      <c r="J66" s="4" t="s">
        <v>10</v>
      </c>
      <c r="K66" s="1" t="s">
        <v>130</v>
      </c>
      <c r="L66" s="4"/>
      <c r="M66" s="4"/>
    </row>
    <row r="67" spans="1:13" x14ac:dyDescent="0.25">
      <c r="A67" s="7">
        <v>53</v>
      </c>
      <c r="B67" s="33"/>
      <c r="C67" s="2"/>
      <c r="D67" s="13" t="s">
        <v>131</v>
      </c>
      <c r="E67" s="1">
        <f>Table1[[#This Row],[QUANTITY]]-Table1[[#This Row],[CONSUMPTION]]</f>
        <v>0</v>
      </c>
      <c r="F67" s="1">
        <v>9</v>
      </c>
      <c r="G67" s="1" t="s">
        <v>40</v>
      </c>
      <c r="H67" s="4"/>
      <c r="I67" s="31">
        <f t="shared" si="0"/>
        <v>0</v>
      </c>
      <c r="J67" s="4" t="s">
        <v>10</v>
      </c>
      <c r="K67" s="1" t="s">
        <v>132</v>
      </c>
      <c r="L67" s="4">
        <v>9</v>
      </c>
      <c r="M67" s="4" t="s">
        <v>133</v>
      </c>
    </row>
    <row r="68" spans="1:13" x14ac:dyDescent="0.25">
      <c r="A68" s="7">
        <v>54</v>
      </c>
      <c r="B68" s="33" t="s">
        <v>134</v>
      </c>
      <c r="C68" s="2" t="s">
        <v>135</v>
      </c>
      <c r="D68" s="13" t="s">
        <v>136</v>
      </c>
      <c r="E68" s="1">
        <f>Table1[[#This Row],[QUANTITY]]-Table1[[#This Row],[CONSUMPTION]]</f>
        <v>6</v>
      </c>
      <c r="F68" s="1">
        <v>6</v>
      </c>
      <c r="G68" s="1" t="s">
        <v>40</v>
      </c>
      <c r="H68" s="28">
        <v>99352</v>
      </c>
      <c r="I68" s="31">
        <f t="shared" si="0"/>
        <v>596112</v>
      </c>
      <c r="J68" s="4" t="s">
        <v>3</v>
      </c>
      <c r="K68" s="1" t="s">
        <v>137</v>
      </c>
      <c r="L68" s="4"/>
      <c r="M68" s="4"/>
    </row>
    <row r="69" spans="1:13" x14ac:dyDescent="0.25">
      <c r="A69" s="7">
        <v>55</v>
      </c>
      <c r="B69" s="33"/>
      <c r="C69" s="2" t="s">
        <v>138</v>
      </c>
      <c r="D69" s="13" t="s">
        <v>139</v>
      </c>
      <c r="E69" s="1">
        <f>Table1[[#This Row],[QUANTITY]]-Table1[[#This Row],[CONSUMPTION]]</f>
        <v>1</v>
      </c>
      <c r="F69" s="1">
        <v>1</v>
      </c>
      <c r="G69" s="1" t="s">
        <v>40</v>
      </c>
      <c r="H69" s="4"/>
      <c r="I69" s="31">
        <f t="shared" si="0"/>
        <v>0</v>
      </c>
      <c r="J69" s="4" t="s">
        <v>10</v>
      </c>
      <c r="K69" s="1" t="s">
        <v>137</v>
      </c>
      <c r="L69" s="4"/>
      <c r="M69" s="4"/>
    </row>
    <row r="70" spans="1:13" x14ac:dyDescent="0.25">
      <c r="A70" s="7">
        <v>56</v>
      </c>
      <c r="B70" s="33"/>
      <c r="C70" s="2"/>
      <c r="D70" s="13" t="s">
        <v>140</v>
      </c>
      <c r="E70" s="1">
        <f>Table1[[#This Row],[QUANTITY]]-Table1[[#This Row],[CONSUMPTION]]</f>
        <v>2</v>
      </c>
      <c r="F70" s="1">
        <f>19+10+10+3</f>
        <v>42</v>
      </c>
      <c r="G70" s="1" t="s">
        <v>40</v>
      </c>
      <c r="H70" s="4"/>
      <c r="I70" s="31">
        <f t="shared" si="0"/>
        <v>0</v>
      </c>
      <c r="J70" s="4" t="s">
        <v>10</v>
      </c>
      <c r="K70" s="1" t="s">
        <v>137</v>
      </c>
      <c r="L70" s="4">
        <f>15+4+5+16</f>
        <v>40</v>
      </c>
      <c r="M70" s="4"/>
    </row>
    <row r="71" spans="1:13" x14ac:dyDescent="0.25">
      <c r="A71" s="7">
        <v>57</v>
      </c>
      <c r="B71" s="33"/>
      <c r="C71" s="2">
        <v>197387</v>
      </c>
      <c r="D71" s="13" t="s">
        <v>141</v>
      </c>
      <c r="E71" s="1">
        <f>Table1[[#This Row],[QUANTITY]]-Table1[[#This Row],[CONSUMPTION]]</f>
        <v>1</v>
      </c>
      <c r="F71" s="1">
        <v>1</v>
      </c>
      <c r="G71" s="1" t="s">
        <v>115</v>
      </c>
      <c r="H71" s="4"/>
      <c r="I71" s="31">
        <f t="shared" si="0"/>
        <v>0</v>
      </c>
      <c r="J71" s="4" t="s">
        <v>10</v>
      </c>
      <c r="K71" s="1" t="s">
        <v>142</v>
      </c>
      <c r="L71" s="4"/>
      <c r="M71" s="4"/>
    </row>
    <row r="72" spans="1:13" x14ac:dyDescent="0.25">
      <c r="A72" s="7">
        <v>58</v>
      </c>
      <c r="B72" s="33"/>
      <c r="C72" s="2">
        <v>197384</v>
      </c>
      <c r="D72" s="13" t="s">
        <v>141</v>
      </c>
      <c r="E72" s="1">
        <f>Table1[[#This Row],[QUANTITY]]-Table1[[#This Row],[CONSUMPTION]]</f>
        <v>1</v>
      </c>
      <c r="F72" s="1">
        <v>1</v>
      </c>
      <c r="G72" s="1" t="s">
        <v>115</v>
      </c>
      <c r="H72" s="4"/>
      <c r="I72" s="31">
        <f t="shared" si="0"/>
        <v>0</v>
      </c>
      <c r="J72" s="4" t="s">
        <v>10</v>
      </c>
      <c r="K72" s="1" t="s">
        <v>142</v>
      </c>
      <c r="L72" s="4"/>
      <c r="M72" s="4"/>
    </row>
    <row r="73" spans="1:13" x14ac:dyDescent="0.25">
      <c r="A73" s="9">
        <v>59</v>
      </c>
      <c r="B73" s="34"/>
      <c r="C73" s="11">
        <v>197385</v>
      </c>
      <c r="D73" s="14" t="s">
        <v>141</v>
      </c>
      <c r="E73" s="12">
        <f>Table1[[#This Row],[QUANTITY]]-Table1[[#This Row],[CONSUMPTION]]</f>
        <v>1</v>
      </c>
      <c r="F73" s="1">
        <v>1</v>
      </c>
      <c r="G73" s="12" t="s">
        <v>115</v>
      </c>
      <c r="H73" s="10"/>
      <c r="I73" s="32">
        <f t="shared" si="0"/>
        <v>0</v>
      </c>
      <c r="J73" s="10" t="s">
        <v>10</v>
      </c>
      <c r="K73" s="1" t="s">
        <v>142</v>
      </c>
      <c r="L73" s="4"/>
      <c r="M73" s="4"/>
    </row>
    <row r="74" spans="1:13" x14ac:dyDescent="0.25">
      <c r="A74" s="9">
        <v>60</v>
      </c>
      <c r="B74" s="2" t="s">
        <v>143</v>
      </c>
      <c r="C74" s="5">
        <v>3363083591</v>
      </c>
      <c r="D74" s="14" t="s">
        <v>144</v>
      </c>
      <c r="E74" s="12">
        <f>Table1[[#This Row],[QUANTITY]]-Table1[[#This Row],[CONSUMPTION]]</f>
        <v>1</v>
      </c>
      <c r="F74" s="1">
        <v>1</v>
      </c>
      <c r="G74" s="12" t="s">
        <v>40</v>
      </c>
      <c r="H74" s="28">
        <v>5644.8</v>
      </c>
      <c r="I74" s="31">
        <f t="shared" si="0"/>
        <v>5644.8</v>
      </c>
      <c r="J74" s="4" t="s">
        <v>4</v>
      </c>
      <c r="K74" s="1" t="s">
        <v>145</v>
      </c>
      <c r="L74" s="4"/>
      <c r="M74" s="4"/>
    </row>
    <row r="75" spans="1:13" x14ac:dyDescent="0.25">
      <c r="A75" s="7">
        <v>61</v>
      </c>
      <c r="B75" s="2">
        <v>314000000860</v>
      </c>
      <c r="C75" s="2" t="s">
        <v>146</v>
      </c>
      <c r="D75" s="13" t="s">
        <v>147</v>
      </c>
      <c r="E75" s="1">
        <f>Table1[[#This Row],[QUANTITY]]-Table1[[#This Row],[CONSUMPTION]]</f>
        <v>4</v>
      </c>
      <c r="F75" s="1">
        <v>4</v>
      </c>
      <c r="G75" s="1" t="s">
        <v>40</v>
      </c>
      <c r="H75" s="4"/>
      <c r="I75" s="31">
        <f t="shared" si="0"/>
        <v>0</v>
      </c>
      <c r="J75" s="4" t="s">
        <v>4</v>
      </c>
      <c r="K75" s="1" t="s">
        <v>145</v>
      </c>
      <c r="L75" s="4"/>
      <c r="M75" s="4"/>
    </row>
    <row r="76" spans="1:13" x14ac:dyDescent="0.25">
      <c r="A76" s="7">
        <v>62</v>
      </c>
      <c r="B76" s="2"/>
      <c r="C76" s="2">
        <v>3363087482</v>
      </c>
      <c r="D76" s="13" t="s">
        <v>148</v>
      </c>
      <c r="E76" s="1">
        <f>Table1[[#This Row],[QUANTITY]]-Table1[[#This Row],[CONSUMPTION]]</f>
        <v>1</v>
      </c>
      <c r="F76" s="1">
        <v>1</v>
      </c>
      <c r="G76" s="1" t="s">
        <v>40</v>
      </c>
      <c r="H76" s="4"/>
      <c r="I76" s="31">
        <f t="shared" si="0"/>
        <v>0</v>
      </c>
      <c r="J76" s="4" t="s">
        <v>4</v>
      </c>
      <c r="K76" s="1" t="s">
        <v>145</v>
      </c>
      <c r="L76" s="4"/>
      <c r="M76" s="4"/>
    </row>
    <row r="77" spans="1:13" x14ac:dyDescent="0.25">
      <c r="A77" s="9">
        <v>63</v>
      </c>
      <c r="B77" s="2"/>
      <c r="C77" s="2">
        <v>33630830370</v>
      </c>
      <c r="D77" s="13" t="s">
        <v>149</v>
      </c>
      <c r="E77" s="1">
        <f>Table1[[#This Row],[QUANTITY]]-Table1[[#This Row],[CONSUMPTION]]</f>
        <v>1</v>
      </c>
      <c r="F77" s="1">
        <v>1</v>
      </c>
      <c r="G77" s="1" t="s">
        <v>40</v>
      </c>
      <c r="H77" s="4"/>
      <c r="I77" s="31">
        <f t="shared" si="0"/>
        <v>0</v>
      </c>
      <c r="J77" s="4" t="s">
        <v>4</v>
      </c>
      <c r="K77" s="1" t="s">
        <v>145</v>
      </c>
      <c r="L77" s="4"/>
      <c r="M77" s="4"/>
    </row>
    <row r="78" spans="1:13" x14ac:dyDescent="0.25">
      <c r="A78" s="7">
        <v>64</v>
      </c>
      <c r="B78" s="2"/>
      <c r="C78" s="2">
        <v>3363111412</v>
      </c>
      <c r="D78" s="13" t="s">
        <v>150</v>
      </c>
      <c r="E78" s="1">
        <f>Table1[[#This Row],[QUANTITY]]-Table1[[#This Row],[CONSUMPTION]]</f>
        <v>2</v>
      </c>
      <c r="F78" s="1">
        <v>2</v>
      </c>
      <c r="G78" s="1" t="s">
        <v>40</v>
      </c>
      <c r="H78" s="4"/>
      <c r="I78" s="31">
        <f t="shared" si="0"/>
        <v>0</v>
      </c>
      <c r="J78" s="4" t="s">
        <v>4</v>
      </c>
      <c r="K78" s="1" t="s">
        <v>145</v>
      </c>
      <c r="L78" s="4"/>
      <c r="M78" s="4"/>
    </row>
    <row r="79" spans="1:13" x14ac:dyDescent="0.25">
      <c r="A79" s="7">
        <v>65</v>
      </c>
      <c r="B79" s="2" t="s">
        <v>151</v>
      </c>
      <c r="C79" s="2">
        <v>3363069081</v>
      </c>
      <c r="D79" s="13" t="s">
        <v>152</v>
      </c>
      <c r="E79" s="1">
        <f>Table1[[#This Row],[QUANTITY]]-Table1[[#This Row],[CONSUMPTION]]</f>
        <v>0</v>
      </c>
      <c r="F79" s="1">
        <v>1</v>
      </c>
      <c r="G79" s="1" t="s">
        <v>40</v>
      </c>
      <c r="H79" s="28">
        <v>65147.42</v>
      </c>
      <c r="I79" s="31">
        <f t="shared" ref="I79:I142" si="1">H79*E79</f>
        <v>0</v>
      </c>
      <c r="J79" s="4" t="s">
        <v>4</v>
      </c>
      <c r="K79" s="1" t="s">
        <v>145</v>
      </c>
      <c r="L79" s="4">
        <v>1</v>
      </c>
      <c r="M79" s="4"/>
    </row>
    <row r="80" spans="1:13" x14ac:dyDescent="0.25">
      <c r="A80" s="9">
        <v>66</v>
      </c>
      <c r="B80" s="2" t="s">
        <v>153</v>
      </c>
      <c r="C80" s="2">
        <v>3363115515</v>
      </c>
      <c r="D80" s="13" t="s">
        <v>154</v>
      </c>
      <c r="E80" s="1">
        <f>Table1[[#This Row],[QUANTITY]]-Table1[[#This Row],[CONSUMPTION]]</f>
        <v>1</v>
      </c>
      <c r="F80" s="1">
        <v>1</v>
      </c>
      <c r="G80" s="1" t="s">
        <v>40</v>
      </c>
      <c r="H80" s="28">
        <v>6072.39</v>
      </c>
      <c r="I80" s="31">
        <f t="shared" si="1"/>
        <v>6072.39</v>
      </c>
      <c r="J80" s="4" t="s">
        <v>4</v>
      </c>
      <c r="K80" s="1" t="s">
        <v>145</v>
      </c>
      <c r="L80" s="4"/>
      <c r="M80" s="4"/>
    </row>
    <row r="81" spans="1:13" x14ac:dyDescent="0.25">
      <c r="A81" s="7">
        <v>67</v>
      </c>
      <c r="B81" s="2">
        <v>231522040102</v>
      </c>
      <c r="C81" s="2">
        <v>3363121816</v>
      </c>
      <c r="D81" s="13" t="s">
        <v>155</v>
      </c>
      <c r="E81" s="1">
        <f>Table1[[#This Row],[QUANTITY]]-Table1[[#This Row],[CONSUMPTION]]</f>
        <v>2</v>
      </c>
      <c r="F81" s="1">
        <v>2</v>
      </c>
      <c r="G81" s="1" t="s">
        <v>40</v>
      </c>
      <c r="H81" s="28">
        <v>26131.200000000001</v>
      </c>
      <c r="I81" s="31">
        <f t="shared" si="1"/>
        <v>52262.400000000001</v>
      </c>
      <c r="J81" s="4" t="s">
        <v>4</v>
      </c>
      <c r="K81" s="1" t="s">
        <v>145</v>
      </c>
      <c r="L81" s="4"/>
      <c r="M81" s="4"/>
    </row>
    <row r="82" spans="1:13" x14ac:dyDescent="0.25">
      <c r="A82" s="7">
        <v>68</v>
      </c>
      <c r="B82" s="2">
        <v>201017110964</v>
      </c>
      <c r="C82" s="2">
        <v>3363067123</v>
      </c>
      <c r="D82" s="13" t="s">
        <v>156</v>
      </c>
      <c r="E82" s="1">
        <f>Table1[[#This Row],[QUANTITY]]-Table1[[#This Row],[CONSUMPTION]]</f>
        <v>1</v>
      </c>
      <c r="F82" s="1">
        <v>1</v>
      </c>
      <c r="G82" s="1" t="s">
        <v>40</v>
      </c>
      <c r="H82" s="28">
        <v>167965.06</v>
      </c>
      <c r="I82" s="31">
        <f t="shared" si="1"/>
        <v>167965.06</v>
      </c>
      <c r="J82" s="4" t="s">
        <v>4</v>
      </c>
      <c r="K82" s="1" t="s">
        <v>145</v>
      </c>
      <c r="L82" s="4"/>
      <c r="M82" s="4"/>
    </row>
    <row r="83" spans="1:13" x14ac:dyDescent="0.25">
      <c r="A83" s="7">
        <v>69</v>
      </c>
      <c r="B83" s="2" t="s">
        <v>157</v>
      </c>
      <c r="C83" s="2">
        <v>3363115360</v>
      </c>
      <c r="D83" s="13" t="s">
        <v>158</v>
      </c>
      <c r="E83" s="1">
        <f>Table1[[#This Row],[QUANTITY]]-Table1[[#This Row],[CONSUMPTION]]</f>
        <v>0</v>
      </c>
      <c r="F83" s="1">
        <v>2</v>
      </c>
      <c r="G83" s="1" t="s">
        <v>40</v>
      </c>
      <c r="H83" s="28">
        <v>23658.240000000002</v>
      </c>
      <c r="I83" s="31">
        <f t="shared" si="1"/>
        <v>0</v>
      </c>
      <c r="J83" s="4" t="s">
        <v>4</v>
      </c>
      <c r="K83" s="1" t="s">
        <v>142</v>
      </c>
      <c r="L83" s="4">
        <v>2</v>
      </c>
      <c r="M83" s="4" t="s">
        <v>159</v>
      </c>
    </row>
    <row r="84" spans="1:13" x14ac:dyDescent="0.25">
      <c r="A84" s="7">
        <v>70</v>
      </c>
      <c r="B84" s="2" t="s">
        <v>160</v>
      </c>
      <c r="C84" s="2">
        <v>3363105727</v>
      </c>
      <c r="D84" s="13" t="s">
        <v>161</v>
      </c>
      <c r="E84" s="1">
        <f>Table1[[#This Row],[QUANTITY]]-Table1[[#This Row],[CONSUMPTION]]</f>
        <v>0</v>
      </c>
      <c r="F84" s="1">
        <v>1</v>
      </c>
      <c r="G84" s="1" t="s">
        <v>40</v>
      </c>
      <c r="H84" s="28">
        <v>99742.75</v>
      </c>
      <c r="I84" s="31">
        <f t="shared" si="1"/>
        <v>0</v>
      </c>
      <c r="J84" s="4" t="s">
        <v>4</v>
      </c>
      <c r="K84" s="1" t="s">
        <v>162</v>
      </c>
      <c r="L84" s="4">
        <v>1</v>
      </c>
      <c r="M84" s="4"/>
    </row>
    <row r="85" spans="1:13" x14ac:dyDescent="0.25">
      <c r="A85" s="7">
        <v>71</v>
      </c>
      <c r="B85" s="2" t="s">
        <v>163</v>
      </c>
      <c r="C85" s="2">
        <v>3363104395</v>
      </c>
      <c r="D85" s="13" t="s">
        <v>161</v>
      </c>
      <c r="E85" s="1">
        <f>Table1[[#This Row],[QUANTITY]]-Table1[[#This Row],[CONSUMPTION]]</f>
        <v>0</v>
      </c>
      <c r="F85" s="1">
        <v>1</v>
      </c>
      <c r="G85" s="1" t="s">
        <v>40</v>
      </c>
      <c r="H85" s="28">
        <v>92955.55</v>
      </c>
      <c r="I85" s="31">
        <f t="shared" si="1"/>
        <v>0</v>
      </c>
      <c r="J85" s="4" t="s">
        <v>4</v>
      </c>
      <c r="K85" s="1" t="s">
        <v>162</v>
      </c>
      <c r="L85" s="4">
        <v>1</v>
      </c>
      <c r="M85" s="4"/>
    </row>
    <row r="86" spans="1:13" x14ac:dyDescent="0.25">
      <c r="A86" s="7">
        <v>72</v>
      </c>
      <c r="B86" s="2"/>
      <c r="C86" s="2"/>
      <c r="D86" s="13" t="s">
        <v>150</v>
      </c>
      <c r="E86" s="1">
        <f>Table1[[#This Row],[QUANTITY]]-Table1[[#This Row],[CONSUMPTION]]</f>
        <v>7</v>
      </c>
      <c r="F86" s="1">
        <v>7</v>
      </c>
      <c r="G86" s="1" t="s">
        <v>40</v>
      </c>
      <c r="H86" s="4"/>
      <c r="I86" s="31">
        <f t="shared" si="1"/>
        <v>0</v>
      </c>
      <c r="J86" s="4" t="s">
        <v>4</v>
      </c>
      <c r="K86" s="1" t="s">
        <v>162</v>
      </c>
      <c r="L86" s="4"/>
      <c r="M86" s="4"/>
    </row>
    <row r="87" spans="1:13" x14ac:dyDescent="0.25">
      <c r="A87" s="7">
        <v>73</v>
      </c>
      <c r="B87" s="2" t="s">
        <v>164</v>
      </c>
      <c r="C87" s="2">
        <v>3362261541</v>
      </c>
      <c r="D87" s="13" t="s">
        <v>165</v>
      </c>
      <c r="E87" s="1">
        <f>Table1[[#This Row],[QUANTITY]]-Table1[[#This Row],[CONSUMPTION]]</f>
        <v>2</v>
      </c>
      <c r="F87" s="1">
        <v>2</v>
      </c>
      <c r="G87" s="1" t="s">
        <v>40</v>
      </c>
      <c r="H87" s="28">
        <v>11126.4</v>
      </c>
      <c r="I87" s="31">
        <f t="shared" si="1"/>
        <v>22252.799999999999</v>
      </c>
      <c r="J87" s="4" t="s">
        <v>4</v>
      </c>
      <c r="K87" s="1" t="s">
        <v>162</v>
      </c>
      <c r="L87" s="4"/>
      <c r="M87" s="4"/>
    </row>
    <row r="88" spans="1:13" x14ac:dyDescent="0.25">
      <c r="A88" s="7">
        <v>74</v>
      </c>
      <c r="B88" s="2">
        <v>221015247512</v>
      </c>
      <c r="C88" s="2">
        <v>3361854347</v>
      </c>
      <c r="D88" s="13" t="s">
        <v>68</v>
      </c>
      <c r="E88" s="1">
        <f>Table1[[#This Row],[QUANTITY]]-Table1[[#This Row],[CONSUMPTION]]</f>
        <v>2</v>
      </c>
      <c r="F88" s="1">
        <v>2</v>
      </c>
      <c r="G88" s="1" t="s">
        <v>40</v>
      </c>
      <c r="H88" s="28">
        <v>6955.59</v>
      </c>
      <c r="I88" s="31">
        <f t="shared" si="1"/>
        <v>13911.18</v>
      </c>
      <c r="J88" s="4" t="s">
        <v>4</v>
      </c>
      <c r="K88" s="1" t="s">
        <v>162</v>
      </c>
      <c r="L88" s="4"/>
      <c r="M88" s="4"/>
    </row>
    <row r="89" spans="1:13" x14ac:dyDescent="0.25">
      <c r="A89" s="7">
        <v>75</v>
      </c>
      <c r="B89" s="2">
        <v>201017110418</v>
      </c>
      <c r="C89" s="2">
        <v>3361850596</v>
      </c>
      <c r="D89" s="13" t="s">
        <v>166</v>
      </c>
      <c r="E89" s="1">
        <f>Table1[[#This Row],[QUANTITY]]-Table1[[#This Row],[CONSUMPTION]]</f>
        <v>1</v>
      </c>
      <c r="F89" s="1">
        <v>1</v>
      </c>
      <c r="G89" s="1" t="s">
        <v>40</v>
      </c>
      <c r="H89" s="4">
        <v>306.24</v>
      </c>
      <c r="I89" s="31">
        <f t="shared" si="1"/>
        <v>306.24</v>
      </c>
      <c r="J89" s="4" t="s">
        <v>4</v>
      </c>
      <c r="K89" s="1" t="s">
        <v>162</v>
      </c>
      <c r="L89" s="4"/>
      <c r="M89" s="4"/>
    </row>
    <row r="90" spans="1:13" x14ac:dyDescent="0.25">
      <c r="A90" s="7">
        <v>76</v>
      </c>
      <c r="B90" s="2" t="s">
        <v>167</v>
      </c>
      <c r="C90" s="2">
        <v>3360103750</v>
      </c>
      <c r="D90" s="13" t="s">
        <v>168</v>
      </c>
      <c r="E90" s="1">
        <f>Table1[[#This Row],[QUANTITY]]-Table1[[#This Row],[CONSUMPTION]]</f>
        <v>1</v>
      </c>
      <c r="F90" s="1">
        <v>1</v>
      </c>
      <c r="G90" s="1" t="s">
        <v>40</v>
      </c>
      <c r="H90" s="4">
        <v>197.76</v>
      </c>
      <c r="I90" s="31">
        <f t="shared" si="1"/>
        <v>197.76</v>
      </c>
      <c r="J90" s="4" t="s">
        <v>4</v>
      </c>
      <c r="K90" s="1" t="s">
        <v>162</v>
      </c>
      <c r="L90" s="4"/>
      <c r="M90" s="4"/>
    </row>
    <row r="91" spans="1:13" x14ac:dyDescent="0.25">
      <c r="A91" s="7">
        <v>77</v>
      </c>
      <c r="B91" s="2">
        <v>201017110556</v>
      </c>
      <c r="C91" s="2">
        <v>3361850422</v>
      </c>
      <c r="D91" s="13" t="s">
        <v>169</v>
      </c>
      <c r="E91" s="1">
        <f>Table1[[#This Row],[QUANTITY]]-Table1[[#This Row],[CONSUMPTION]]</f>
        <v>1</v>
      </c>
      <c r="F91" s="1">
        <v>1</v>
      </c>
      <c r="G91" s="1" t="s">
        <v>40</v>
      </c>
      <c r="H91" s="28">
        <v>3465.86</v>
      </c>
      <c r="I91" s="31">
        <f t="shared" si="1"/>
        <v>3465.86</v>
      </c>
      <c r="J91" s="4" t="s">
        <v>4</v>
      </c>
      <c r="K91" s="1" t="s">
        <v>162</v>
      </c>
      <c r="L91" s="4"/>
      <c r="M91" s="4"/>
    </row>
    <row r="92" spans="1:13" x14ac:dyDescent="0.25">
      <c r="A92" s="7">
        <v>78</v>
      </c>
      <c r="B92" s="2">
        <v>201017111005</v>
      </c>
      <c r="C92" s="2">
        <v>3363087286</v>
      </c>
      <c r="D92" s="13" t="s">
        <v>170</v>
      </c>
      <c r="E92" s="1">
        <f>Table1[[#This Row],[QUANTITY]]-Table1[[#This Row],[CONSUMPTION]]</f>
        <v>1</v>
      </c>
      <c r="F92" s="1">
        <v>1</v>
      </c>
      <c r="G92" s="1" t="s">
        <v>40</v>
      </c>
      <c r="H92" s="4"/>
      <c r="I92" s="31">
        <f t="shared" si="1"/>
        <v>0</v>
      </c>
      <c r="J92" s="4" t="s">
        <v>4</v>
      </c>
      <c r="K92" s="1" t="s">
        <v>162</v>
      </c>
      <c r="L92" s="4"/>
      <c r="M92" s="4"/>
    </row>
    <row r="93" spans="1:13" x14ac:dyDescent="0.25">
      <c r="A93" s="7">
        <v>79</v>
      </c>
      <c r="B93" s="2"/>
      <c r="C93" s="2">
        <v>3363105345</v>
      </c>
      <c r="D93" s="13" t="s">
        <v>171</v>
      </c>
      <c r="E93" s="1">
        <f>Table1[[#This Row],[QUANTITY]]-Table1[[#This Row],[CONSUMPTION]]</f>
        <v>0</v>
      </c>
      <c r="F93" s="1">
        <v>1</v>
      </c>
      <c r="G93" s="1" t="s">
        <v>40</v>
      </c>
      <c r="H93" s="4"/>
      <c r="I93" s="31">
        <f t="shared" si="1"/>
        <v>0</v>
      </c>
      <c r="J93" s="4" t="s">
        <v>4</v>
      </c>
      <c r="K93" s="1" t="s">
        <v>162</v>
      </c>
      <c r="L93" s="4">
        <v>1</v>
      </c>
      <c r="M93" s="4" t="s">
        <v>159</v>
      </c>
    </row>
    <row r="94" spans="1:13" x14ac:dyDescent="0.25">
      <c r="A94" s="7">
        <v>80</v>
      </c>
      <c r="B94" s="2" t="s">
        <v>172</v>
      </c>
      <c r="C94" s="2">
        <v>3363122838</v>
      </c>
      <c r="D94" s="13" t="s">
        <v>173</v>
      </c>
      <c r="E94" s="1">
        <f>Table1[[#This Row],[QUANTITY]]-Table1[[#This Row],[CONSUMPTION]]</f>
        <v>1</v>
      </c>
      <c r="F94" s="1">
        <v>2</v>
      </c>
      <c r="G94" s="1" t="s">
        <v>40</v>
      </c>
      <c r="H94" s="28">
        <v>85175</v>
      </c>
      <c r="I94" s="31">
        <f t="shared" si="1"/>
        <v>85175</v>
      </c>
      <c r="J94" s="4" t="s">
        <v>4</v>
      </c>
      <c r="K94" s="1" t="s">
        <v>162</v>
      </c>
      <c r="L94" s="4">
        <v>1</v>
      </c>
      <c r="M94" s="4" t="s">
        <v>174</v>
      </c>
    </row>
    <row r="95" spans="1:13" x14ac:dyDescent="0.25">
      <c r="A95" s="7">
        <v>81</v>
      </c>
      <c r="B95" s="2">
        <v>201017110416</v>
      </c>
      <c r="C95" s="2">
        <v>3363087185</v>
      </c>
      <c r="D95" s="13" t="s">
        <v>175</v>
      </c>
      <c r="E95" s="1">
        <f>Table1[[#This Row],[QUANTITY]]-Table1[[#This Row],[CONSUMPTION]]</f>
        <v>1</v>
      </c>
      <c r="F95" s="1">
        <v>1</v>
      </c>
      <c r="G95" s="1" t="s">
        <v>40</v>
      </c>
      <c r="H95" s="28">
        <v>21387.84</v>
      </c>
      <c r="I95" s="31">
        <f t="shared" si="1"/>
        <v>21387.84</v>
      </c>
      <c r="J95" s="4" t="s">
        <v>4</v>
      </c>
      <c r="K95" s="1" t="s">
        <v>162</v>
      </c>
      <c r="L95" s="4"/>
      <c r="M95" s="4"/>
    </row>
    <row r="96" spans="1:13" x14ac:dyDescent="0.25">
      <c r="A96" s="7">
        <v>82</v>
      </c>
      <c r="B96" s="2">
        <v>201017110414</v>
      </c>
      <c r="C96" s="2">
        <v>3363083873</v>
      </c>
      <c r="D96" s="13" t="s">
        <v>176</v>
      </c>
      <c r="E96" s="1">
        <f>Table1[[#This Row],[QUANTITY]]-Table1[[#This Row],[CONSUMPTION]]</f>
        <v>1</v>
      </c>
      <c r="F96" s="1">
        <v>1</v>
      </c>
      <c r="G96" s="1" t="s">
        <v>40</v>
      </c>
      <c r="H96" s="28">
        <v>18401.28</v>
      </c>
      <c r="I96" s="31">
        <f t="shared" si="1"/>
        <v>18401.28</v>
      </c>
      <c r="J96" s="4" t="s">
        <v>4</v>
      </c>
      <c r="K96" s="1" t="s">
        <v>162</v>
      </c>
      <c r="L96" s="4"/>
      <c r="M96" s="4"/>
    </row>
    <row r="97" spans="1:13" x14ac:dyDescent="0.25">
      <c r="A97" s="7">
        <v>83</v>
      </c>
      <c r="B97" s="33">
        <v>401615050114</v>
      </c>
      <c r="C97" s="2" t="s">
        <v>177</v>
      </c>
      <c r="D97" s="13" t="s">
        <v>178</v>
      </c>
      <c r="E97" s="1">
        <f>Table1[[#This Row],[QUANTITY]]-Table1[[#This Row],[CONSUMPTION]]</f>
        <v>0</v>
      </c>
      <c r="F97" s="1">
        <v>1</v>
      </c>
      <c r="G97" s="1" t="s">
        <v>40</v>
      </c>
      <c r="H97" s="28">
        <v>3732.35</v>
      </c>
      <c r="I97" s="31">
        <f t="shared" si="1"/>
        <v>0</v>
      </c>
      <c r="J97" s="4" t="s">
        <v>5</v>
      </c>
      <c r="K97" s="1" t="s">
        <v>179</v>
      </c>
      <c r="L97" s="4">
        <v>1</v>
      </c>
      <c r="M97" s="4"/>
    </row>
    <row r="98" spans="1:13" x14ac:dyDescent="0.25">
      <c r="A98" s="7">
        <v>84</v>
      </c>
      <c r="B98" s="33">
        <v>401616020008</v>
      </c>
      <c r="C98" s="2" t="s">
        <v>180</v>
      </c>
      <c r="D98" s="13" t="s">
        <v>181</v>
      </c>
      <c r="E98" s="1">
        <f>Table1[[#This Row],[QUANTITY]]-Table1[[#This Row],[CONSUMPTION]]</f>
        <v>0</v>
      </c>
      <c r="F98" s="1">
        <v>1</v>
      </c>
      <c r="G98" s="1" t="s">
        <v>40</v>
      </c>
      <c r="H98" s="4">
        <v>1</v>
      </c>
      <c r="I98" s="31">
        <f t="shared" si="1"/>
        <v>0</v>
      </c>
      <c r="J98" s="4" t="s">
        <v>5</v>
      </c>
      <c r="K98" s="1" t="s">
        <v>179</v>
      </c>
      <c r="L98" s="4">
        <v>1</v>
      </c>
      <c r="M98" s="4"/>
    </row>
    <row r="99" spans="1:13" x14ac:dyDescent="0.25">
      <c r="A99" s="7">
        <v>85</v>
      </c>
      <c r="B99" s="33">
        <v>401615150035</v>
      </c>
      <c r="C99" s="2">
        <v>60101256</v>
      </c>
      <c r="D99" s="13" t="s">
        <v>182</v>
      </c>
      <c r="E99" s="1">
        <f>Table1[[#This Row],[QUANTITY]]-Table1[[#This Row],[CONSUMPTION]]</f>
        <v>2</v>
      </c>
      <c r="F99" s="1">
        <v>2</v>
      </c>
      <c r="G99" s="1" t="s">
        <v>40</v>
      </c>
      <c r="H99" s="4"/>
      <c r="I99" s="31">
        <f t="shared" si="1"/>
        <v>0</v>
      </c>
      <c r="J99" s="4" t="s">
        <v>5</v>
      </c>
      <c r="K99" s="1" t="s">
        <v>183</v>
      </c>
      <c r="L99" s="4"/>
      <c r="M99" s="4"/>
    </row>
    <row r="100" spans="1:13" x14ac:dyDescent="0.25">
      <c r="A100" s="7">
        <v>86</v>
      </c>
      <c r="B100" s="33">
        <v>999893014333</v>
      </c>
      <c r="C100" s="2" t="s">
        <v>184</v>
      </c>
      <c r="D100" s="13" t="s">
        <v>185</v>
      </c>
      <c r="E100" s="1">
        <f>Table1[[#This Row],[QUANTITY]]-Table1[[#This Row],[CONSUMPTION]]</f>
        <v>2</v>
      </c>
      <c r="F100" s="1">
        <v>3</v>
      </c>
      <c r="G100" s="1" t="s">
        <v>40</v>
      </c>
      <c r="H100" s="28">
        <v>8878</v>
      </c>
      <c r="I100" s="31">
        <f t="shared" si="1"/>
        <v>17756</v>
      </c>
      <c r="J100" s="4" t="s">
        <v>5</v>
      </c>
      <c r="K100" s="1" t="s">
        <v>179</v>
      </c>
      <c r="L100" s="4">
        <v>1</v>
      </c>
      <c r="M100" s="4"/>
    </row>
    <row r="101" spans="1:13" x14ac:dyDescent="0.25">
      <c r="A101" s="7">
        <v>87</v>
      </c>
      <c r="B101" s="33"/>
      <c r="C101" s="2" t="s">
        <v>186</v>
      </c>
      <c r="D101" s="13" t="s">
        <v>187</v>
      </c>
      <c r="E101" s="1">
        <f>Table1[[#This Row],[QUANTITY]]-Table1[[#This Row],[CONSUMPTION]]</f>
        <v>1</v>
      </c>
      <c r="F101" s="1">
        <v>2</v>
      </c>
      <c r="G101" s="1" t="s">
        <v>40</v>
      </c>
      <c r="H101" s="4"/>
      <c r="I101" s="31">
        <f t="shared" si="1"/>
        <v>0</v>
      </c>
      <c r="J101" s="4" t="s">
        <v>5</v>
      </c>
      <c r="K101" s="1" t="s">
        <v>179</v>
      </c>
      <c r="L101" s="4">
        <v>1</v>
      </c>
      <c r="M101" s="4"/>
    </row>
    <row r="102" spans="1:13" x14ac:dyDescent="0.25">
      <c r="A102" s="7">
        <v>88</v>
      </c>
      <c r="B102" s="48">
        <v>401615130066</v>
      </c>
      <c r="C102" s="2">
        <v>60328868</v>
      </c>
      <c r="D102" s="13" t="s">
        <v>188</v>
      </c>
      <c r="E102" s="1">
        <f>Table1[[#This Row],[QUANTITY]]-Table1[[#This Row],[CONSUMPTION]]</f>
        <v>1</v>
      </c>
      <c r="F102" s="1">
        <v>2</v>
      </c>
      <c r="G102" s="1" t="s">
        <v>40</v>
      </c>
      <c r="H102" s="4"/>
      <c r="I102" s="31">
        <f t="shared" si="1"/>
        <v>0</v>
      </c>
      <c r="J102" s="4" t="s">
        <v>5</v>
      </c>
      <c r="K102" s="1" t="s">
        <v>183</v>
      </c>
      <c r="L102" s="4">
        <v>1</v>
      </c>
      <c r="M102" s="4"/>
    </row>
    <row r="103" spans="1:13" x14ac:dyDescent="0.25">
      <c r="A103" s="7">
        <v>89</v>
      </c>
      <c r="B103" s="34">
        <v>999893014332</v>
      </c>
      <c r="C103" s="11">
        <v>60327523</v>
      </c>
      <c r="D103" s="14" t="s">
        <v>189</v>
      </c>
      <c r="E103" s="12">
        <f>Table1[[#This Row],[QUANTITY]]-Table1[[#This Row],[CONSUMPTION]]</f>
        <v>0</v>
      </c>
      <c r="F103" s="1">
        <v>2</v>
      </c>
      <c r="G103" s="1" t="s">
        <v>40</v>
      </c>
      <c r="H103" s="29">
        <v>1488</v>
      </c>
      <c r="I103" s="32">
        <f t="shared" si="1"/>
        <v>0</v>
      </c>
      <c r="J103" s="4" t="s">
        <v>5</v>
      </c>
      <c r="K103" s="1" t="s">
        <v>183</v>
      </c>
      <c r="L103" s="4">
        <v>2</v>
      </c>
      <c r="M103" s="4"/>
    </row>
    <row r="104" spans="1:13" x14ac:dyDescent="0.25">
      <c r="A104" s="7">
        <v>90</v>
      </c>
      <c r="B104" s="33">
        <v>999893014336</v>
      </c>
      <c r="C104" s="2" t="s">
        <v>190</v>
      </c>
      <c r="D104" s="13" t="s">
        <v>189</v>
      </c>
      <c r="E104" s="1">
        <f>Table1[[#This Row],[QUANTITY]]-Table1[[#This Row],[CONSUMPTION]]</f>
        <v>1</v>
      </c>
      <c r="F104" s="1">
        <v>1</v>
      </c>
      <c r="G104" s="1" t="s">
        <v>40</v>
      </c>
      <c r="H104" s="28">
        <v>1488</v>
      </c>
      <c r="I104" s="31">
        <f t="shared" si="1"/>
        <v>1488</v>
      </c>
      <c r="J104" s="4" t="s">
        <v>5</v>
      </c>
      <c r="K104" s="1" t="s">
        <v>183</v>
      </c>
      <c r="L104" s="4"/>
      <c r="M104" s="4"/>
    </row>
    <row r="105" spans="1:13" x14ac:dyDescent="0.25">
      <c r="A105" s="7">
        <v>91</v>
      </c>
      <c r="B105" s="33"/>
      <c r="C105" s="2" t="s">
        <v>191</v>
      </c>
      <c r="D105" s="13" t="s">
        <v>192</v>
      </c>
      <c r="E105" s="1">
        <f>Table1[[#This Row],[QUANTITY]]-Table1[[#This Row],[CONSUMPTION]]</f>
        <v>1</v>
      </c>
      <c r="F105" s="1">
        <v>2</v>
      </c>
      <c r="G105" s="1" t="s">
        <v>40</v>
      </c>
      <c r="H105" s="4"/>
      <c r="I105" s="31">
        <f t="shared" si="1"/>
        <v>0</v>
      </c>
      <c r="J105" s="4" t="s">
        <v>5</v>
      </c>
      <c r="K105" s="1" t="s">
        <v>183</v>
      </c>
      <c r="L105" s="4">
        <v>1</v>
      </c>
      <c r="M105" s="4"/>
    </row>
    <row r="106" spans="1:13" x14ac:dyDescent="0.25">
      <c r="A106" s="7">
        <v>92</v>
      </c>
      <c r="B106" s="33"/>
      <c r="C106" s="2" t="s">
        <v>193</v>
      </c>
      <c r="D106" s="13" t="s">
        <v>192</v>
      </c>
      <c r="E106" s="1">
        <f>Table1[[#This Row],[QUANTITY]]-Table1[[#This Row],[CONSUMPTION]]</f>
        <v>1</v>
      </c>
      <c r="F106" s="1">
        <v>2</v>
      </c>
      <c r="G106" s="1" t="s">
        <v>40</v>
      </c>
      <c r="H106" s="4"/>
      <c r="I106" s="31">
        <f t="shared" si="1"/>
        <v>0</v>
      </c>
      <c r="J106" s="4" t="s">
        <v>5</v>
      </c>
      <c r="K106" s="1" t="s">
        <v>183</v>
      </c>
      <c r="L106" s="4">
        <v>1</v>
      </c>
      <c r="M106" s="4"/>
    </row>
    <row r="107" spans="1:13" x14ac:dyDescent="0.25">
      <c r="A107" s="7">
        <v>93</v>
      </c>
      <c r="B107" s="33">
        <v>401618070048</v>
      </c>
      <c r="C107" s="2" t="s">
        <v>194</v>
      </c>
      <c r="D107" s="13" t="s">
        <v>195</v>
      </c>
      <c r="E107" s="1">
        <f>Table1[[#This Row],[QUANTITY]]-Table1[[#This Row],[CONSUMPTION]]</f>
        <v>3</v>
      </c>
      <c r="F107" s="1">
        <v>5</v>
      </c>
      <c r="G107" s="1" t="s">
        <v>40</v>
      </c>
      <c r="H107" s="28">
        <v>13583.85</v>
      </c>
      <c r="I107" s="31">
        <f t="shared" si="1"/>
        <v>40751.550000000003</v>
      </c>
      <c r="J107" s="4" t="s">
        <v>5</v>
      </c>
      <c r="K107" s="1" t="s">
        <v>183</v>
      </c>
      <c r="L107" s="4">
        <v>2</v>
      </c>
      <c r="M107" s="4"/>
    </row>
    <row r="108" spans="1:13" x14ac:dyDescent="0.25">
      <c r="A108" s="7">
        <v>94</v>
      </c>
      <c r="B108" s="33">
        <v>999893015254</v>
      </c>
      <c r="C108" s="2" t="s">
        <v>196</v>
      </c>
      <c r="D108" s="13" t="s">
        <v>197</v>
      </c>
      <c r="E108" s="1">
        <f>Table1[[#This Row],[QUANTITY]]-Table1[[#This Row],[CONSUMPTION]]</f>
        <v>2</v>
      </c>
      <c r="F108" s="1">
        <v>2</v>
      </c>
      <c r="G108" s="1" t="s">
        <v>40</v>
      </c>
      <c r="H108" s="28">
        <v>1297.95</v>
      </c>
      <c r="I108" s="31">
        <f t="shared" si="1"/>
        <v>2595.9</v>
      </c>
      <c r="J108" s="4" t="s">
        <v>5</v>
      </c>
      <c r="K108" s="1" t="s">
        <v>198</v>
      </c>
      <c r="L108" s="4"/>
      <c r="M108" s="4"/>
    </row>
    <row r="109" spans="1:13" x14ac:dyDescent="0.25">
      <c r="A109" s="7">
        <v>95</v>
      </c>
      <c r="B109" s="33">
        <v>999893015254</v>
      </c>
      <c r="C109" s="2">
        <v>13447295</v>
      </c>
      <c r="D109" s="13" t="s">
        <v>199</v>
      </c>
      <c r="E109" s="1">
        <f>Table1[[#This Row],[QUANTITY]]-Table1[[#This Row],[CONSUMPTION]]</f>
        <v>2</v>
      </c>
      <c r="F109" s="1">
        <v>2</v>
      </c>
      <c r="G109" s="1" t="s">
        <v>40</v>
      </c>
      <c r="H109" s="28">
        <v>1680.45</v>
      </c>
      <c r="I109" s="31">
        <f t="shared" si="1"/>
        <v>3360.9</v>
      </c>
      <c r="J109" s="4" t="s">
        <v>5</v>
      </c>
      <c r="K109" s="1" t="s">
        <v>198</v>
      </c>
      <c r="L109" s="4"/>
      <c r="M109" s="4"/>
    </row>
    <row r="110" spans="1:13" x14ac:dyDescent="0.25">
      <c r="A110" s="7">
        <v>96</v>
      </c>
      <c r="B110" s="33">
        <v>999893015260</v>
      </c>
      <c r="C110" s="2" t="s">
        <v>200</v>
      </c>
      <c r="D110" s="13" t="s">
        <v>201</v>
      </c>
      <c r="E110" s="1">
        <f>Table1[[#This Row],[QUANTITY]]-Table1[[#This Row],[CONSUMPTION]]</f>
        <v>10</v>
      </c>
      <c r="F110" s="1">
        <v>10</v>
      </c>
      <c r="G110" s="1" t="s">
        <v>40</v>
      </c>
      <c r="H110" s="28">
        <v>3921.9</v>
      </c>
      <c r="I110" s="31">
        <f t="shared" si="1"/>
        <v>39219</v>
      </c>
      <c r="J110" s="4" t="s">
        <v>5</v>
      </c>
      <c r="K110" s="1" t="s">
        <v>198</v>
      </c>
      <c r="L110" s="4"/>
      <c r="M110" s="4"/>
    </row>
    <row r="111" spans="1:13" x14ac:dyDescent="0.25">
      <c r="A111" s="7">
        <v>97</v>
      </c>
      <c r="B111" s="33">
        <v>999893015256</v>
      </c>
      <c r="C111" s="2" t="s">
        <v>202</v>
      </c>
      <c r="D111" s="13" t="s">
        <v>203</v>
      </c>
      <c r="E111" s="1">
        <f>Table1[[#This Row],[QUANTITY]]-Table1[[#This Row],[CONSUMPTION]]</f>
        <v>2</v>
      </c>
      <c r="F111" s="1">
        <v>2</v>
      </c>
      <c r="G111" s="1" t="s">
        <v>40</v>
      </c>
      <c r="H111" s="28">
        <v>5737.5</v>
      </c>
      <c r="I111" s="31">
        <f t="shared" si="1"/>
        <v>11475</v>
      </c>
      <c r="J111" s="4" t="s">
        <v>5</v>
      </c>
      <c r="K111" s="1" t="s">
        <v>198</v>
      </c>
      <c r="L111" s="4"/>
      <c r="M111" s="4"/>
    </row>
    <row r="112" spans="1:13" x14ac:dyDescent="0.25">
      <c r="A112" s="7">
        <v>98</v>
      </c>
      <c r="B112" s="33">
        <v>999893015252</v>
      </c>
      <c r="C112" s="2">
        <v>13134661</v>
      </c>
      <c r="D112" s="13" t="s">
        <v>204</v>
      </c>
      <c r="E112" s="1">
        <f>Table1[[#This Row],[QUANTITY]]-Table1[[#This Row],[CONSUMPTION]]</f>
        <v>6</v>
      </c>
      <c r="F112" s="1">
        <v>6</v>
      </c>
      <c r="G112" s="1" t="s">
        <v>40</v>
      </c>
      <c r="H112" s="28">
        <v>4041.75</v>
      </c>
      <c r="I112" s="31">
        <f t="shared" si="1"/>
        <v>24250.5</v>
      </c>
      <c r="J112" s="4" t="s">
        <v>5</v>
      </c>
      <c r="K112" s="1" t="s">
        <v>198</v>
      </c>
      <c r="L112" s="4"/>
      <c r="M112" s="4"/>
    </row>
    <row r="113" spans="1:13" x14ac:dyDescent="0.25">
      <c r="A113" s="7">
        <v>99</v>
      </c>
      <c r="B113" s="33">
        <v>999893015246</v>
      </c>
      <c r="C113" s="2" t="s">
        <v>205</v>
      </c>
      <c r="D113" s="13" t="s">
        <v>206</v>
      </c>
      <c r="E113" s="1">
        <f>Table1[[#This Row],[QUANTITY]]-Table1[[#This Row],[CONSUMPTION]]</f>
        <v>28</v>
      </c>
      <c r="F113" s="1">
        <v>28</v>
      </c>
      <c r="G113" s="1" t="s">
        <v>40</v>
      </c>
      <c r="H113" s="28">
        <v>3791.85</v>
      </c>
      <c r="I113" s="31">
        <f t="shared" si="1"/>
        <v>106171.8</v>
      </c>
      <c r="J113" s="4" t="s">
        <v>5</v>
      </c>
      <c r="K113" s="1" t="s">
        <v>198</v>
      </c>
      <c r="L113" s="4"/>
      <c r="M113" s="4"/>
    </row>
    <row r="114" spans="1:13" x14ac:dyDescent="0.25">
      <c r="A114" s="7">
        <v>100</v>
      </c>
      <c r="B114" s="33">
        <v>999893015270</v>
      </c>
      <c r="C114" s="2">
        <v>14275556</v>
      </c>
      <c r="D114" s="13" t="s">
        <v>207</v>
      </c>
      <c r="E114" s="1">
        <f>Table1[[#This Row],[QUANTITY]]-Table1[[#This Row],[CONSUMPTION]]</f>
        <v>1</v>
      </c>
      <c r="F114" s="1">
        <v>1</v>
      </c>
      <c r="G114" s="1" t="s">
        <v>40</v>
      </c>
      <c r="H114" s="28">
        <v>1167.9000000000001</v>
      </c>
      <c r="I114" s="31">
        <f t="shared" si="1"/>
        <v>1167.9000000000001</v>
      </c>
      <c r="J114" s="4" t="s">
        <v>5</v>
      </c>
      <c r="K114" s="1" t="s">
        <v>198</v>
      </c>
      <c r="L114" s="4"/>
      <c r="M114" s="4"/>
    </row>
    <row r="115" spans="1:13" x14ac:dyDescent="0.25">
      <c r="A115" s="7">
        <v>101</v>
      </c>
      <c r="B115" s="33">
        <v>999893015244</v>
      </c>
      <c r="C115" s="2" t="s">
        <v>208</v>
      </c>
      <c r="D115" s="13" t="s">
        <v>209</v>
      </c>
      <c r="E115" s="1">
        <f>Table1[[#This Row],[QUANTITY]]-Table1[[#This Row],[CONSUMPTION]]</f>
        <v>6</v>
      </c>
      <c r="F115" s="1">
        <v>6</v>
      </c>
      <c r="G115" s="1" t="s">
        <v>40</v>
      </c>
      <c r="H115" s="28">
        <v>8930.1</v>
      </c>
      <c r="I115" s="31">
        <f t="shared" si="1"/>
        <v>53580.600000000006</v>
      </c>
      <c r="J115" s="4" t="s">
        <v>5</v>
      </c>
      <c r="K115" s="1" t="s">
        <v>210</v>
      </c>
      <c r="L115" s="4"/>
      <c r="M115" s="4"/>
    </row>
    <row r="116" spans="1:13" x14ac:dyDescent="0.25">
      <c r="A116" s="7">
        <v>102</v>
      </c>
      <c r="B116" s="33">
        <v>999893015245</v>
      </c>
      <c r="C116" s="2" t="s">
        <v>211</v>
      </c>
      <c r="D116" s="13" t="s">
        <v>212</v>
      </c>
      <c r="E116" s="1">
        <f>Table1[[#This Row],[QUANTITY]]-Table1[[#This Row],[CONSUMPTION]]</f>
        <v>7</v>
      </c>
      <c r="F116" s="1">
        <v>7</v>
      </c>
      <c r="G116" s="1" t="s">
        <v>40</v>
      </c>
      <c r="H116" s="28">
        <v>8930.1</v>
      </c>
      <c r="I116" s="31">
        <f t="shared" si="1"/>
        <v>62510.700000000004</v>
      </c>
      <c r="J116" s="4" t="s">
        <v>5</v>
      </c>
      <c r="K116" s="1" t="s">
        <v>210</v>
      </c>
      <c r="L116" s="4"/>
      <c r="M116" s="4"/>
    </row>
    <row r="117" spans="1:13" x14ac:dyDescent="0.25">
      <c r="A117" s="7">
        <v>103</v>
      </c>
      <c r="B117" s="33">
        <v>999893015272</v>
      </c>
      <c r="C117" s="2" t="s">
        <v>213</v>
      </c>
      <c r="D117" s="2" t="s">
        <v>213</v>
      </c>
      <c r="E117" s="1">
        <f>Table1[[#This Row],[QUANTITY]]-Table1[[#This Row],[CONSUMPTION]]</f>
        <v>1</v>
      </c>
      <c r="F117" s="1">
        <v>1</v>
      </c>
      <c r="G117" s="1" t="s">
        <v>40</v>
      </c>
      <c r="H117" s="28">
        <v>18005.55</v>
      </c>
      <c r="I117" s="31">
        <f t="shared" si="1"/>
        <v>18005.55</v>
      </c>
      <c r="J117" s="4" t="s">
        <v>5</v>
      </c>
      <c r="K117" s="1" t="s">
        <v>137</v>
      </c>
      <c r="L117" s="4"/>
      <c r="M117" s="4"/>
    </row>
    <row r="118" spans="1:13" x14ac:dyDescent="0.25">
      <c r="A118" s="7">
        <v>104</v>
      </c>
      <c r="B118" s="33">
        <v>999893015265</v>
      </c>
      <c r="C118" s="2">
        <v>13128330</v>
      </c>
      <c r="D118" s="13" t="s">
        <v>214</v>
      </c>
      <c r="E118" s="1">
        <f>Table1[[#This Row],[QUANTITY]]-Table1[[#This Row],[CONSUMPTION]]</f>
        <v>1</v>
      </c>
      <c r="F118" s="1">
        <v>1</v>
      </c>
      <c r="G118" s="1" t="s">
        <v>40</v>
      </c>
      <c r="H118" s="28">
        <v>18010.650000000001</v>
      </c>
      <c r="I118" s="31">
        <f t="shared" si="1"/>
        <v>18010.650000000001</v>
      </c>
      <c r="J118" s="4" t="s">
        <v>5</v>
      </c>
      <c r="K118" s="1" t="s">
        <v>137</v>
      </c>
      <c r="L118" s="4"/>
      <c r="M118" s="4"/>
    </row>
    <row r="119" spans="1:13" x14ac:dyDescent="0.25">
      <c r="A119" s="7">
        <v>105</v>
      </c>
      <c r="B119" s="33">
        <v>999893015251</v>
      </c>
      <c r="C119" s="2">
        <v>13128003</v>
      </c>
      <c r="D119" s="13" t="s">
        <v>214</v>
      </c>
      <c r="E119" s="1">
        <f>Table1[[#This Row],[QUANTITY]]-Table1[[#This Row],[CONSUMPTION]]</f>
        <v>1</v>
      </c>
      <c r="F119" s="1">
        <v>1</v>
      </c>
      <c r="G119" s="1" t="s">
        <v>40</v>
      </c>
      <c r="H119" s="28">
        <v>19576.349999999999</v>
      </c>
      <c r="I119" s="31">
        <f t="shared" si="1"/>
        <v>19576.349999999999</v>
      </c>
      <c r="J119" s="4" t="s">
        <v>5</v>
      </c>
      <c r="K119" s="1" t="s">
        <v>137</v>
      </c>
      <c r="L119" s="4"/>
      <c r="M119" s="4"/>
    </row>
    <row r="120" spans="1:13" x14ac:dyDescent="0.25">
      <c r="A120" s="7">
        <v>106</v>
      </c>
      <c r="B120" s="33"/>
      <c r="C120" s="2">
        <v>13132673</v>
      </c>
      <c r="D120" s="13" t="s">
        <v>214</v>
      </c>
      <c r="E120" s="1">
        <f>Table1[[#This Row],[QUANTITY]]-Table1[[#This Row],[CONSUMPTION]]</f>
        <v>1</v>
      </c>
      <c r="F120" s="1">
        <v>1</v>
      </c>
      <c r="G120" s="1" t="s">
        <v>40</v>
      </c>
      <c r="H120" s="28">
        <v>13991.85</v>
      </c>
      <c r="I120" s="31">
        <f t="shared" si="1"/>
        <v>13991.85</v>
      </c>
      <c r="J120" s="4" t="s">
        <v>5</v>
      </c>
      <c r="K120" s="1" t="s">
        <v>137</v>
      </c>
      <c r="L120" s="4"/>
      <c r="M120" s="4"/>
    </row>
    <row r="121" spans="1:13" x14ac:dyDescent="0.25">
      <c r="A121" s="7">
        <v>107</v>
      </c>
      <c r="B121" s="33">
        <v>999893015266</v>
      </c>
      <c r="C121" s="2">
        <v>13128275</v>
      </c>
      <c r="D121" s="13" t="s">
        <v>215</v>
      </c>
      <c r="E121" s="1">
        <f>Table1[[#This Row],[QUANTITY]]-Table1[[#This Row],[CONSUMPTION]]</f>
        <v>1</v>
      </c>
      <c r="F121" s="1">
        <v>1</v>
      </c>
      <c r="G121" s="1" t="s">
        <v>40</v>
      </c>
      <c r="H121" s="28">
        <v>13349.25</v>
      </c>
      <c r="I121" s="31">
        <f t="shared" si="1"/>
        <v>13349.25</v>
      </c>
      <c r="J121" s="4" t="s">
        <v>5</v>
      </c>
      <c r="K121" s="1" t="s">
        <v>137</v>
      </c>
      <c r="L121" s="4"/>
      <c r="M121" s="4"/>
    </row>
    <row r="122" spans="1:13" x14ac:dyDescent="0.25">
      <c r="A122" s="7">
        <v>108</v>
      </c>
      <c r="B122" s="33">
        <v>999893015248</v>
      </c>
      <c r="C122" s="2">
        <v>13128130</v>
      </c>
      <c r="D122" s="13" t="s">
        <v>214</v>
      </c>
      <c r="E122" s="1">
        <f>Table1[[#This Row],[QUANTITY]]-Table1[[#This Row],[CONSUMPTION]]</f>
        <v>1</v>
      </c>
      <c r="F122" s="1">
        <v>1</v>
      </c>
      <c r="G122" s="1" t="s">
        <v>40</v>
      </c>
      <c r="H122" s="28">
        <v>17776.05</v>
      </c>
      <c r="I122" s="31">
        <f t="shared" si="1"/>
        <v>17776.05</v>
      </c>
      <c r="J122" s="4" t="s">
        <v>5</v>
      </c>
      <c r="K122" s="1" t="s">
        <v>137</v>
      </c>
      <c r="L122" s="4"/>
      <c r="M122" s="4"/>
    </row>
    <row r="123" spans="1:13" x14ac:dyDescent="0.25">
      <c r="A123" s="7">
        <v>109</v>
      </c>
      <c r="B123" s="33">
        <v>999893015247</v>
      </c>
      <c r="C123" s="2">
        <v>13128127</v>
      </c>
      <c r="D123" s="13" t="s">
        <v>215</v>
      </c>
      <c r="E123" s="1">
        <f>Table1[[#This Row],[QUANTITY]]-Table1[[#This Row],[CONSUMPTION]]</f>
        <v>1</v>
      </c>
      <c r="F123" s="1">
        <v>1</v>
      </c>
      <c r="G123" s="1" t="s">
        <v>40</v>
      </c>
      <c r="H123" s="28">
        <v>15544.8</v>
      </c>
      <c r="I123" s="31">
        <f t="shared" si="1"/>
        <v>15544.8</v>
      </c>
      <c r="J123" s="4" t="s">
        <v>5</v>
      </c>
      <c r="K123" s="1" t="s">
        <v>137</v>
      </c>
      <c r="L123" s="4"/>
      <c r="M123" s="4"/>
    </row>
    <row r="124" spans="1:13" x14ac:dyDescent="0.25">
      <c r="A124" s="7">
        <v>110</v>
      </c>
      <c r="B124" s="33">
        <v>999893015250</v>
      </c>
      <c r="C124" s="2">
        <v>13128005</v>
      </c>
      <c r="D124" s="13" t="s">
        <v>216</v>
      </c>
      <c r="E124" s="1">
        <f>Table1[[#This Row],[QUANTITY]]-Table1[[#This Row],[CONSUMPTION]]</f>
        <v>1</v>
      </c>
      <c r="F124" s="1">
        <v>1</v>
      </c>
      <c r="G124" s="1" t="s">
        <v>40</v>
      </c>
      <c r="H124" s="28">
        <v>14802.75</v>
      </c>
      <c r="I124" s="31">
        <f t="shared" si="1"/>
        <v>14802.75</v>
      </c>
      <c r="J124" s="4" t="s">
        <v>5</v>
      </c>
      <c r="K124" s="1" t="s">
        <v>137</v>
      </c>
      <c r="L124" s="4"/>
      <c r="M124" s="4"/>
    </row>
    <row r="125" spans="1:13" x14ac:dyDescent="0.25">
      <c r="A125" s="7">
        <v>111</v>
      </c>
      <c r="B125" s="33">
        <v>999893015257</v>
      </c>
      <c r="C125" s="2">
        <v>13128177</v>
      </c>
      <c r="D125" s="13" t="s">
        <v>216</v>
      </c>
      <c r="E125" s="1">
        <f>Table1[[#This Row],[QUANTITY]]-Table1[[#This Row],[CONSUMPTION]]</f>
        <v>1</v>
      </c>
      <c r="F125" s="1">
        <v>1</v>
      </c>
      <c r="G125" s="1" t="s">
        <v>40</v>
      </c>
      <c r="H125" s="28">
        <v>14963.4</v>
      </c>
      <c r="I125" s="31">
        <f t="shared" si="1"/>
        <v>14963.4</v>
      </c>
      <c r="J125" s="4" t="s">
        <v>5</v>
      </c>
      <c r="K125" s="1" t="s">
        <v>137</v>
      </c>
      <c r="L125" s="4"/>
      <c r="M125" s="4"/>
    </row>
    <row r="126" spans="1:13" x14ac:dyDescent="0.25">
      <c r="A126" s="7">
        <v>112</v>
      </c>
      <c r="B126" s="33"/>
      <c r="C126" s="2">
        <v>13128999</v>
      </c>
      <c r="D126" s="13" t="s">
        <v>214</v>
      </c>
      <c r="E126" s="1">
        <f>Table1[[#This Row],[QUANTITY]]-Table1[[#This Row],[CONSUMPTION]]</f>
        <v>1</v>
      </c>
      <c r="F126" s="1">
        <v>1</v>
      </c>
      <c r="G126" s="1" t="s">
        <v>40</v>
      </c>
      <c r="H126" s="4"/>
      <c r="I126" s="31">
        <f t="shared" si="1"/>
        <v>0</v>
      </c>
      <c r="J126" s="4" t="s">
        <v>5</v>
      </c>
      <c r="K126" s="1" t="s">
        <v>137</v>
      </c>
      <c r="L126" s="4"/>
      <c r="M126" s="4"/>
    </row>
    <row r="127" spans="1:13" x14ac:dyDescent="0.25">
      <c r="A127" s="7">
        <v>113</v>
      </c>
      <c r="B127" s="33">
        <v>999893015259</v>
      </c>
      <c r="C127" s="2">
        <v>13128173</v>
      </c>
      <c r="D127" s="13" t="s">
        <v>217</v>
      </c>
      <c r="E127" s="1">
        <f>Table1[[#This Row],[QUANTITY]]-Table1[[#This Row],[CONSUMPTION]]</f>
        <v>1</v>
      </c>
      <c r="F127" s="1">
        <v>1</v>
      </c>
      <c r="G127" s="1" t="s">
        <v>40</v>
      </c>
      <c r="H127" s="28">
        <v>14017.35</v>
      </c>
      <c r="I127" s="31">
        <f t="shared" si="1"/>
        <v>14017.35</v>
      </c>
      <c r="J127" s="4" t="s">
        <v>5</v>
      </c>
      <c r="K127" s="1" t="s">
        <v>137</v>
      </c>
      <c r="L127" s="4"/>
      <c r="M127" s="4"/>
    </row>
    <row r="128" spans="1:13" x14ac:dyDescent="0.25">
      <c r="A128" s="7">
        <v>114</v>
      </c>
      <c r="B128" s="33">
        <v>999893015263</v>
      </c>
      <c r="C128" s="2">
        <v>13132668</v>
      </c>
      <c r="D128" s="13" t="s">
        <v>218</v>
      </c>
      <c r="E128" s="1">
        <f>Table1[[#This Row],[QUANTITY]]-Table1[[#This Row],[CONSUMPTION]]</f>
        <v>1</v>
      </c>
      <c r="F128" s="1">
        <v>1</v>
      </c>
      <c r="G128" s="1" t="s">
        <v>40</v>
      </c>
      <c r="H128" s="28">
        <v>13991.85</v>
      </c>
      <c r="I128" s="31">
        <f t="shared" si="1"/>
        <v>13991.85</v>
      </c>
      <c r="J128" s="4" t="s">
        <v>5</v>
      </c>
      <c r="K128" s="1" t="s">
        <v>137</v>
      </c>
      <c r="L128" s="4"/>
      <c r="M128" s="4"/>
    </row>
    <row r="129" spans="1:13" x14ac:dyDescent="0.25">
      <c r="A129" s="7">
        <v>115</v>
      </c>
      <c r="B129" s="33">
        <v>999893015268</v>
      </c>
      <c r="C129" s="2">
        <v>13183495</v>
      </c>
      <c r="D129" s="13" t="s">
        <v>214</v>
      </c>
      <c r="E129" s="1">
        <f>Table1[[#This Row],[QUANTITY]]-Table1[[#This Row],[CONSUMPTION]]</f>
        <v>1</v>
      </c>
      <c r="F129" s="1">
        <v>1</v>
      </c>
      <c r="G129" s="1" t="s">
        <v>40</v>
      </c>
      <c r="H129" s="28">
        <v>16674.45</v>
      </c>
      <c r="I129" s="31">
        <f t="shared" si="1"/>
        <v>16674.45</v>
      </c>
      <c r="J129" s="4" t="s">
        <v>5</v>
      </c>
      <c r="K129" s="1" t="s">
        <v>137</v>
      </c>
      <c r="L129" s="4"/>
      <c r="M129" s="4"/>
    </row>
    <row r="130" spans="1:13" x14ac:dyDescent="0.25">
      <c r="A130" s="7">
        <v>116</v>
      </c>
      <c r="B130" s="33">
        <v>999893015249</v>
      </c>
      <c r="C130" s="2">
        <v>13128131</v>
      </c>
      <c r="D130" s="13" t="s">
        <v>218</v>
      </c>
      <c r="E130" s="1">
        <f>Table1[[#This Row],[QUANTITY]]-Table1[[#This Row],[CONSUMPTION]]</f>
        <v>1</v>
      </c>
      <c r="F130" s="1">
        <v>1</v>
      </c>
      <c r="G130" s="1" t="s">
        <v>40</v>
      </c>
      <c r="H130" s="28">
        <v>15544.8</v>
      </c>
      <c r="I130" s="31">
        <f t="shared" si="1"/>
        <v>15544.8</v>
      </c>
      <c r="J130" s="4" t="s">
        <v>5</v>
      </c>
      <c r="K130" s="1" t="s">
        <v>137</v>
      </c>
      <c r="L130" s="4"/>
      <c r="M130" s="4"/>
    </row>
    <row r="131" spans="1:13" x14ac:dyDescent="0.25">
      <c r="A131" s="7">
        <v>117</v>
      </c>
      <c r="B131" s="33">
        <v>999893015269</v>
      </c>
      <c r="C131" s="2">
        <v>13183496</v>
      </c>
      <c r="D131" s="13" t="s">
        <v>216</v>
      </c>
      <c r="E131" s="1">
        <f>Table1[[#This Row],[QUANTITY]]-Table1[[#This Row],[CONSUMPTION]]</f>
        <v>1</v>
      </c>
      <c r="F131" s="1">
        <v>1</v>
      </c>
      <c r="G131" s="1" t="s">
        <v>40</v>
      </c>
      <c r="H131" s="28">
        <v>13183.5</v>
      </c>
      <c r="I131" s="31">
        <f t="shared" si="1"/>
        <v>13183.5</v>
      </c>
      <c r="J131" s="4" t="s">
        <v>5</v>
      </c>
      <c r="K131" s="1" t="s">
        <v>137</v>
      </c>
      <c r="L131" s="4"/>
      <c r="M131" s="4"/>
    </row>
    <row r="132" spans="1:13" x14ac:dyDescent="0.25">
      <c r="A132" s="7">
        <v>118</v>
      </c>
      <c r="B132" s="33">
        <v>999893015261</v>
      </c>
      <c r="C132" s="2">
        <v>13132672</v>
      </c>
      <c r="D132" s="13" t="s">
        <v>219</v>
      </c>
      <c r="E132" s="1">
        <f>Table1[[#This Row],[QUANTITY]]-Table1[[#This Row],[CONSUMPTION]]</f>
        <v>1</v>
      </c>
      <c r="F132" s="1">
        <v>1</v>
      </c>
      <c r="G132" s="1" t="s">
        <v>40</v>
      </c>
      <c r="H132" s="28">
        <v>13991.85</v>
      </c>
      <c r="I132" s="31">
        <f t="shared" si="1"/>
        <v>13991.85</v>
      </c>
      <c r="J132" s="4" t="s">
        <v>5</v>
      </c>
      <c r="K132" s="1" t="s">
        <v>137</v>
      </c>
      <c r="L132" s="4"/>
      <c r="M132" s="4"/>
    </row>
    <row r="133" spans="1:13" x14ac:dyDescent="0.25">
      <c r="A133" s="7">
        <v>119</v>
      </c>
      <c r="B133" s="33">
        <v>999893015267</v>
      </c>
      <c r="C133" s="2">
        <v>13183501</v>
      </c>
      <c r="D133" s="13" t="s">
        <v>215</v>
      </c>
      <c r="E133" s="1">
        <f>Table1[[#This Row],[QUANTITY]]-Table1[[#This Row],[CONSUMPTION]]</f>
        <v>1</v>
      </c>
      <c r="F133" s="1">
        <v>1</v>
      </c>
      <c r="G133" s="1" t="s">
        <v>40</v>
      </c>
      <c r="H133" s="28">
        <v>13183.5</v>
      </c>
      <c r="I133" s="31">
        <f t="shared" si="1"/>
        <v>13183.5</v>
      </c>
      <c r="J133" s="4" t="s">
        <v>5</v>
      </c>
      <c r="K133" s="1" t="s">
        <v>137</v>
      </c>
      <c r="L133" s="4"/>
      <c r="M133" s="4"/>
    </row>
    <row r="134" spans="1:13" x14ac:dyDescent="0.25">
      <c r="A134" s="7">
        <v>120</v>
      </c>
      <c r="B134" s="33">
        <v>999893015264</v>
      </c>
      <c r="C134" s="2">
        <v>13128352</v>
      </c>
      <c r="D134" s="13" t="s">
        <v>218</v>
      </c>
      <c r="E134" s="1">
        <f>Table1[[#This Row],[QUANTITY]]-Table1[[#This Row],[CONSUMPTION]]</f>
        <v>1</v>
      </c>
      <c r="F134" s="1">
        <v>1</v>
      </c>
      <c r="G134" s="1" t="s">
        <v>40</v>
      </c>
      <c r="H134" s="28">
        <v>12385.35</v>
      </c>
      <c r="I134" s="31">
        <f t="shared" si="1"/>
        <v>12385.35</v>
      </c>
      <c r="J134" s="4" t="s">
        <v>5</v>
      </c>
      <c r="K134" s="1" t="s">
        <v>137</v>
      </c>
      <c r="L134" s="4"/>
      <c r="M134" s="4"/>
    </row>
    <row r="135" spans="1:13" x14ac:dyDescent="0.25">
      <c r="A135" s="7">
        <v>121</v>
      </c>
      <c r="B135" s="33">
        <v>999893015271</v>
      </c>
      <c r="C135" s="2" t="s">
        <v>220</v>
      </c>
      <c r="D135" s="13" t="s">
        <v>221</v>
      </c>
      <c r="E135" s="1">
        <f>Table1[[#This Row],[QUANTITY]]-Table1[[#This Row],[CONSUMPTION]]</f>
        <v>2</v>
      </c>
      <c r="F135" s="1">
        <v>2</v>
      </c>
      <c r="G135" s="1" t="s">
        <v>40</v>
      </c>
      <c r="H135" s="28">
        <v>13150.35</v>
      </c>
      <c r="I135" s="31">
        <f t="shared" si="1"/>
        <v>26300.7</v>
      </c>
      <c r="J135" s="4" t="s">
        <v>5</v>
      </c>
      <c r="K135" s="1" t="s">
        <v>137</v>
      </c>
      <c r="L135" s="4"/>
      <c r="M135" s="4"/>
    </row>
    <row r="136" spans="1:13" x14ac:dyDescent="0.25">
      <c r="A136" s="7">
        <v>122</v>
      </c>
      <c r="B136" s="49">
        <v>401615040138</v>
      </c>
      <c r="C136" s="2">
        <v>12915035153</v>
      </c>
      <c r="D136" s="13" t="s">
        <v>189</v>
      </c>
      <c r="E136" s="1">
        <f>Table1[[#This Row],[QUANTITY]]-Table1[[#This Row],[CONSUMPTION]]</f>
        <v>2</v>
      </c>
      <c r="F136" s="1">
        <v>3</v>
      </c>
      <c r="G136" s="1" t="s">
        <v>40</v>
      </c>
      <c r="H136" s="4"/>
      <c r="I136" s="31">
        <f t="shared" si="1"/>
        <v>0</v>
      </c>
      <c r="J136" s="4" t="s">
        <v>6</v>
      </c>
      <c r="K136" s="1" t="s">
        <v>222</v>
      </c>
      <c r="L136" s="4">
        <v>1</v>
      </c>
      <c r="M136" s="4" t="s">
        <v>223</v>
      </c>
    </row>
    <row r="137" spans="1:13" x14ac:dyDescent="0.25">
      <c r="A137" s="7">
        <v>123</v>
      </c>
      <c r="B137" s="33"/>
      <c r="C137" s="2" t="s">
        <v>224</v>
      </c>
      <c r="D137" s="13" t="s">
        <v>178</v>
      </c>
      <c r="E137" s="1">
        <f>Table1[[#This Row],[QUANTITY]]-Table1[[#This Row],[CONSUMPTION]]</f>
        <v>3</v>
      </c>
      <c r="F137" s="1">
        <v>3</v>
      </c>
      <c r="G137" s="1" t="s">
        <v>40</v>
      </c>
      <c r="H137" s="4"/>
      <c r="I137" s="31">
        <f t="shared" si="1"/>
        <v>0</v>
      </c>
      <c r="J137" s="4" t="s">
        <v>6</v>
      </c>
      <c r="K137" s="1" t="s">
        <v>222</v>
      </c>
      <c r="L137" s="4"/>
      <c r="M137" s="4"/>
    </row>
    <row r="138" spans="1:13" x14ac:dyDescent="0.25">
      <c r="A138" s="7">
        <v>124</v>
      </c>
      <c r="B138" s="33">
        <v>401615000499</v>
      </c>
      <c r="C138" s="2" t="s">
        <v>225</v>
      </c>
      <c r="D138" s="13" t="s">
        <v>226</v>
      </c>
      <c r="E138" s="1">
        <f>Table1[[#This Row],[QUANTITY]]-Table1[[#This Row],[CONSUMPTION]]</f>
        <v>3</v>
      </c>
      <c r="F138" s="1">
        <v>3</v>
      </c>
      <c r="G138" s="1" t="s">
        <v>40</v>
      </c>
      <c r="H138" s="41">
        <v>16360</v>
      </c>
      <c r="I138" s="31">
        <f t="shared" si="1"/>
        <v>49080</v>
      </c>
      <c r="J138" s="4" t="s">
        <v>6</v>
      </c>
      <c r="K138" s="1" t="s">
        <v>222</v>
      </c>
      <c r="L138" s="4"/>
      <c r="M138" s="4"/>
    </row>
    <row r="139" spans="1:13" x14ac:dyDescent="0.25">
      <c r="A139" s="7">
        <v>125</v>
      </c>
      <c r="B139" s="33">
        <v>401615000500</v>
      </c>
      <c r="C139" s="2" t="s">
        <v>227</v>
      </c>
      <c r="D139" s="13" t="s">
        <v>192</v>
      </c>
      <c r="E139" s="1">
        <f>Table1[[#This Row],[QUANTITY]]-Table1[[#This Row],[CONSUMPTION]]</f>
        <v>2</v>
      </c>
      <c r="F139" s="1">
        <v>3</v>
      </c>
      <c r="G139" s="1" t="s">
        <v>40</v>
      </c>
      <c r="H139" s="30">
        <v>10411</v>
      </c>
      <c r="I139" s="31">
        <f t="shared" si="1"/>
        <v>20822</v>
      </c>
      <c r="J139" s="4" t="s">
        <v>6</v>
      </c>
      <c r="K139" s="1" t="s">
        <v>222</v>
      </c>
      <c r="L139" s="4">
        <v>1</v>
      </c>
      <c r="M139" s="4" t="s">
        <v>223</v>
      </c>
    </row>
    <row r="140" spans="1:13" x14ac:dyDescent="0.25">
      <c r="A140" s="7">
        <v>126</v>
      </c>
      <c r="B140" s="49">
        <v>401615130083</v>
      </c>
      <c r="C140" s="2">
        <v>1290055800</v>
      </c>
      <c r="D140" s="13" t="s">
        <v>192</v>
      </c>
      <c r="E140" s="1">
        <f>Table1[[#This Row],[QUANTITY]]-Table1[[#This Row],[CONSUMPTION]]</f>
        <v>2</v>
      </c>
      <c r="F140" s="1">
        <v>3</v>
      </c>
      <c r="G140" s="1" t="s">
        <v>40</v>
      </c>
      <c r="H140" s="4"/>
      <c r="I140" s="31">
        <f t="shared" si="1"/>
        <v>0</v>
      </c>
      <c r="J140" s="4" t="s">
        <v>6</v>
      </c>
      <c r="K140" s="1" t="s">
        <v>222</v>
      </c>
      <c r="L140" s="4">
        <v>1</v>
      </c>
      <c r="M140" s="4" t="s">
        <v>223</v>
      </c>
    </row>
    <row r="141" spans="1:13" x14ac:dyDescent="0.25">
      <c r="A141" s="7">
        <v>127</v>
      </c>
      <c r="B141" s="33"/>
      <c r="C141" s="2" t="s">
        <v>228</v>
      </c>
      <c r="D141" s="13" t="s">
        <v>178</v>
      </c>
      <c r="E141" s="1">
        <f>Table1[[#This Row],[QUANTITY]]-Table1[[#This Row],[CONSUMPTION]]</f>
        <v>3</v>
      </c>
      <c r="F141" s="1">
        <v>3</v>
      </c>
      <c r="G141" s="1" t="s">
        <v>40</v>
      </c>
      <c r="H141" s="4"/>
      <c r="I141" s="31">
        <f t="shared" si="1"/>
        <v>0</v>
      </c>
      <c r="J141" s="4" t="s">
        <v>20</v>
      </c>
      <c r="K141" s="1" t="s">
        <v>229</v>
      </c>
      <c r="L141" s="4"/>
      <c r="M141" s="4"/>
    </row>
    <row r="142" spans="1:13" x14ac:dyDescent="0.25">
      <c r="A142" s="7">
        <v>128</v>
      </c>
      <c r="B142" s="34"/>
      <c r="C142" s="11" t="s">
        <v>230</v>
      </c>
      <c r="D142" s="14" t="s">
        <v>231</v>
      </c>
      <c r="E142" s="12">
        <f>Table1[[#This Row],[QUANTITY]]-Table1[[#This Row],[CONSUMPTION]]</f>
        <v>3</v>
      </c>
      <c r="F142" s="1">
        <v>3</v>
      </c>
      <c r="G142" s="1" t="s">
        <v>40</v>
      </c>
      <c r="H142" s="10"/>
      <c r="I142" s="32">
        <f t="shared" si="1"/>
        <v>0</v>
      </c>
      <c r="J142" s="4" t="s">
        <v>20</v>
      </c>
      <c r="K142" s="1" t="s">
        <v>229</v>
      </c>
      <c r="L142" s="4"/>
      <c r="M142" s="4"/>
    </row>
    <row r="143" spans="1:13" x14ac:dyDescent="0.25">
      <c r="A143" s="7">
        <v>129</v>
      </c>
      <c r="B143" s="33"/>
      <c r="C143" s="2" t="s">
        <v>232</v>
      </c>
      <c r="D143" s="13" t="s">
        <v>233</v>
      </c>
      <c r="E143" s="1">
        <f>Table1[[#This Row],[QUANTITY]]-Table1[[#This Row],[CONSUMPTION]]</f>
        <v>1</v>
      </c>
      <c r="F143" s="1">
        <v>2</v>
      </c>
      <c r="G143" s="1" t="s">
        <v>40</v>
      </c>
      <c r="H143" s="4"/>
      <c r="I143" s="31">
        <f t="shared" ref="I143:I206" si="2">H143*E143</f>
        <v>0</v>
      </c>
      <c r="J143" s="4" t="s">
        <v>20</v>
      </c>
      <c r="K143" s="1" t="s">
        <v>229</v>
      </c>
      <c r="L143" s="4">
        <v>1</v>
      </c>
      <c r="M143" s="4" t="s">
        <v>234</v>
      </c>
    </row>
    <row r="144" spans="1:13" x14ac:dyDescent="0.25">
      <c r="A144" s="7">
        <v>130</v>
      </c>
      <c r="B144" s="33"/>
      <c r="C144" s="2" t="s">
        <v>235</v>
      </c>
      <c r="D144" s="13" t="s">
        <v>236</v>
      </c>
      <c r="E144" s="1">
        <f>Table1[[#This Row],[QUANTITY]]-Table1[[#This Row],[CONSUMPTION]]</f>
        <v>4</v>
      </c>
      <c r="F144" s="1">
        <v>4</v>
      </c>
      <c r="G144" s="1" t="s">
        <v>40</v>
      </c>
      <c r="H144" s="4"/>
      <c r="I144" s="31">
        <f t="shared" si="2"/>
        <v>0</v>
      </c>
      <c r="J144" s="4" t="s">
        <v>20</v>
      </c>
      <c r="K144" s="1" t="s">
        <v>229</v>
      </c>
      <c r="L144" s="4"/>
      <c r="M144" s="4"/>
    </row>
    <row r="145" spans="1:13" x14ac:dyDescent="0.25">
      <c r="A145" s="7">
        <v>131</v>
      </c>
      <c r="B145" s="33"/>
      <c r="C145" s="2" t="s">
        <v>237</v>
      </c>
      <c r="D145" s="13" t="s">
        <v>238</v>
      </c>
      <c r="E145" s="1">
        <f>Table1[[#This Row],[QUANTITY]]-Table1[[#This Row],[CONSUMPTION]]</f>
        <v>3</v>
      </c>
      <c r="F145" s="1">
        <v>3</v>
      </c>
      <c r="G145" s="1" t="s">
        <v>40</v>
      </c>
      <c r="H145" s="4"/>
      <c r="I145" s="31">
        <f t="shared" si="2"/>
        <v>0</v>
      </c>
      <c r="J145" s="4" t="s">
        <v>20</v>
      </c>
      <c r="K145" s="1" t="s">
        <v>229</v>
      </c>
      <c r="L145" s="4"/>
      <c r="M145" s="4"/>
    </row>
    <row r="146" spans="1:13" x14ac:dyDescent="0.25">
      <c r="A146" s="7">
        <v>132</v>
      </c>
      <c r="B146" s="33"/>
      <c r="C146" s="2" t="s">
        <v>239</v>
      </c>
      <c r="D146" s="13" t="s">
        <v>240</v>
      </c>
      <c r="E146" s="1">
        <f>Table1[[#This Row],[QUANTITY]]-Table1[[#This Row],[CONSUMPTION]]</f>
        <v>3</v>
      </c>
      <c r="F146" s="1">
        <v>3</v>
      </c>
      <c r="G146" s="1" t="s">
        <v>40</v>
      </c>
      <c r="H146" s="4"/>
      <c r="I146" s="31">
        <f t="shared" si="2"/>
        <v>0</v>
      </c>
      <c r="J146" s="4" t="s">
        <v>20</v>
      </c>
      <c r="K146" s="1" t="s">
        <v>241</v>
      </c>
      <c r="L146" s="4"/>
      <c r="M146" s="4"/>
    </row>
    <row r="147" spans="1:13" x14ac:dyDescent="0.25">
      <c r="A147" s="7">
        <v>133</v>
      </c>
      <c r="B147" s="34"/>
      <c r="C147" s="11" t="s">
        <v>242</v>
      </c>
      <c r="D147" s="14" t="s">
        <v>243</v>
      </c>
      <c r="E147" s="12">
        <f>Table1[[#This Row],[QUANTITY]]-Table1[[#This Row],[CONSUMPTION]]</f>
        <v>0</v>
      </c>
      <c r="F147" s="1">
        <v>1</v>
      </c>
      <c r="G147" s="1" t="s">
        <v>40</v>
      </c>
      <c r="H147" s="10"/>
      <c r="I147" s="32">
        <f t="shared" si="2"/>
        <v>0</v>
      </c>
      <c r="J147" s="4" t="s">
        <v>20</v>
      </c>
      <c r="K147" s="1" t="s">
        <v>241</v>
      </c>
      <c r="L147" s="4">
        <v>1</v>
      </c>
      <c r="M147" s="4" t="s">
        <v>234</v>
      </c>
    </row>
    <row r="148" spans="1:13" x14ac:dyDescent="0.25">
      <c r="A148" s="7">
        <v>134</v>
      </c>
      <c r="B148" s="33"/>
      <c r="C148" s="2" t="s">
        <v>244</v>
      </c>
      <c r="D148" s="13" t="s">
        <v>189</v>
      </c>
      <c r="E148" s="1">
        <f>Table1[[#This Row],[QUANTITY]]-Table1[[#This Row],[CONSUMPTION]]</f>
        <v>0</v>
      </c>
      <c r="F148" s="1">
        <v>1</v>
      </c>
      <c r="G148" s="1" t="s">
        <v>40</v>
      </c>
      <c r="H148" s="4"/>
      <c r="I148" s="31">
        <f t="shared" si="2"/>
        <v>0</v>
      </c>
      <c r="J148" s="4" t="s">
        <v>20</v>
      </c>
      <c r="K148" s="1" t="s">
        <v>241</v>
      </c>
      <c r="L148" s="4">
        <v>1</v>
      </c>
      <c r="M148" s="4" t="s">
        <v>234</v>
      </c>
    </row>
    <row r="149" spans="1:13" x14ac:dyDescent="0.25">
      <c r="A149" s="7">
        <v>135</v>
      </c>
      <c r="B149" s="33"/>
      <c r="C149" s="2" t="s">
        <v>245</v>
      </c>
      <c r="D149" s="13" t="s">
        <v>246</v>
      </c>
      <c r="E149" s="1">
        <f>Table1[[#This Row],[QUANTITY]]-Table1[[#This Row],[CONSUMPTION]]</f>
        <v>0</v>
      </c>
      <c r="F149" s="1">
        <v>1</v>
      </c>
      <c r="G149" s="1" t="s">
        <v>40</v>
      </c>
      <c r="H149" s="4"/>
      <c r="I149" s="31">
        <f t="shared" si="2"/>
        <v>0</v>
      </c>
      <c r="J149" s="4" t="s">
        <v>20</v>
      </c>
      <c r="K149" s="1" t="s">
        <v>241</v>
      </c>
      <c r="L149" s="4">
        <v>1</v>
      </c>
      <c r="M149" s="4" t="s">
        <v>234</v>
      </c>
    </row>
    <row r="150" spans="1:13" x14ac:dyDescent="0.25">
      <c r="A150" s="7">
        <v>136</v>
      </c>
      <c r="B150" s="33"/>
      <c r="C150" s="2" t="s">
        <v>247</v>
      </c>
      <c r="D150" s="13" t="s">
        <v>248</v>
      </c>
      <c r="E150" s="1">
        <f>Table1[[#This Row],[QUANTITY]]-Table1[[#This Row],[CONSUMPTION]]</f>
        <v>4</v>
      </c>
      <c r="F150" s="1">
        <v>4</v>
      </c>
      <c r="G150" s="1" t="s">
        <v>40</v>
      </c>
      <c r="H150" s="4"/>
      <c r="I150" s="31">
        <f t="shared" si="2"/>
        <v>0</v>
      </c>
      <c r="J150" s="4" t="s">
        <v>20</v>
      </c>
      <c r="K150" s="1" t="s">
        <v>241</v>
      </c>
      <c r="L150" s="4"/>
      <c r="M150" s="4"/>
    </row>
    <row r="151" spans="1:13" x14ac:dyDescent="0.25">
      <c r="A151" s="7">
        <v>137</v>
      </c>
      <c r="B151" s="33"/>
      <c r="C151" s="2" t="s">
        <v>249</v>
      </c>
      <c r="D151" s="13" t="s">
        <v>250</v>
      </c>
      <c r="E151" s="1">
        <f>Table1[[#This Row],[QUANTITY]]-Table1[[#This Row],[CONSUMPTION]]</f>
        <v>2</v>
      </c>
      <c r="F151" s="1">
        <v>2</v>
      </c>
      <c r="G151" s="1" t="s">
        <v>40</v>
      </c>
      <c r="H151" s="4"/>
      <c r="I151" s="31">
        <f t="shared" si="2"/>
        <v>0</v>
      </c>
      <c r="J151" s="4" t="s">
        <v>20</v>
      </c>
      <c r="K151" s="1" t="s">
        <v>241</v>
      </c>
      <c r="L151" s="4"/>
      <c r="M151" s="4"/>
    </row>
    <row r="152" spans="1:13" x14ac:dyDescent="0.25">
      <c r="A152" s="7">
        <v>138</v>
      </c>
      <c r="B152" s="33">
        <v>401425120005</v>
      </c>
      <c r="C152" s="2" t="s">
        <v>251</v>
      </c>
      <c r="D152" s="13" t="s">
        <v>252</v>
      </c>
      <c r="E152" s="1">
        <f>Table1[[#This Row],[QUANTITY]]-Table1[[#This Row],[CONSUMPTION]]</f>
        <v>2</v>
      </c>
      <c r="F152" s="1">
        <v>2</v>
      </c>
      <c r="G152" s="1" t="s">
        <v>40</v>
      </c>
      <c r="H152" s="28">
        <v>4833</v>
      </c>
      <c r="I152" s="31">
        <f t="shared" si="2"/>
        <v>9666</v>
      </c>
      <c r="J152" s="4" t="s">
        <v>9</v>
      </c>
      <c r="K152" s="1" t="s">
        <v>253</v>
      </c>
      <c r="L152" s="4"/>
      <c r="M152" s="4"/>
    </row>
    <row r="153" spans="1:13" x14ac:dyDescent="0.25">
      <c r="A153" s="7">
        <v>139</v>
      </c>
      <c r="B153" s="33">
        <v>401618070004</v>
      </c>
      <c r="C153" s="2" t="s">
        <v>254</v>
      </c>
      <c r="D153" s="13" t="s">
        <v>255</v>
      </c>
      <c r="E153" s="1">
        <f>Table1[[#This Row],[QUANTITY]]-Table1[[#This Row],[CONSUMPTION]]</f>
        <v>4</v>
      </c>
      <c r="F153" s="1">
        <v>4</v>
      </c>
      <c r="G153" s="1" t="s">
        <v>40</v>
      </c>
      <c r="H153" s="28">
        <v>1592.82</v>
      </c>
      <c r="I153" s="31">
        <f t="shared" si="2"/>
        <v>6371.28</v>
      </c>
      <c r="J153" s="4" t="s">
        <v>9</v>
      </c>
      <c r="K153" s="1" t="s">
        <v>253</v>
      </c>
      <c r="L153" s="4"/>
      <c r="M153" s="4"/>
    </row>
    <row r="154" spans="1:13" x14ac:dyDescent="0.25">
      <c r="A154" s="7">
        <v>140</v>
      </c>
      <c r="B154" s="33"/>
      <c r="C154" s="2" t="s">
        <v>256</v>
      </c>
      <c r="D154" s="13" t="s">
        <v>257</v>
      </c>
      <c r="E154" s="1">
        <f>Table1[[#This Row],[QUANTITY]]-Table1[[#This Row],[CONSUMPTION]]</f>
        <v>1</v>
      </c>
      <c r="F154" s="1">
        <v>1</v>
      </c>
      <c r="G154" s="1" t="s">
        <v>40</v>
      </c>
      <c r="H154" s="4"/>
      <c r="I154" s="31">
        <f t="shared" si="2"/>
        <v>0</v>
      </c>
      <c r="J154" s="4" t="s">
        <v>9</v>
      </c>
      <c r="K154" s="1" t="s">
        <v>253</v>
      </c>
      <c r="L154" s="4"/>
      <c r="M154" s="4"/>
    </row>
    <row r="155" spans="1:13" x14ac:dyDescent="0.25">
      <c r="A155" s="7">
        <v>141</v>
      </c>
      <c r="B155" s="33"/>
      <c r="C155" s="2" t="s">
        <v>258</v>
      </c>
      <c r="D155" s="13" t="s">
        <v>259</v>
      </c>
      <c r="E155" s="1">
        <f>Table1[[#This Row],[QUANTITY]]-Table1[[#This Row],[CONSUMPTION]]</f>
        <v>2</v>
      </c>
      <c r="F155" s="1">
        <v>2</v>
      </c>
      <c r="G155" s="1" t="s">
        <v>40</v>
      </c>
      <c r="H155" s="4"/>
      <c r="I155" s="31">
        <f t="shared" si="2"/>
        <v>0</v>
      </c>
      <c r="J155" s="4" t="s">
        <v>9</v>
      </c>
      <c r="K155" s="1" t="s">
        <v>253</v>
      </c>
      <c r="L155" s="4"/>
      <c r="M155" s="4"/>
    </row>
    <row r="156" spans="1:13" x14ac:dyDescent="0.25">
      <c r="A156" s="7">
        <v>142</v>
      </c>
      <c r="B156" s="33"/>
      <c r="C156" s="2" t="s">
        <v>260</v>
      </c>
      <c r="D156" s="13" t="s">
        <v>261</v>
      </c>
      <c r="E156" s="1">
        <f>Table1[[#This Row],[QUANTITY]]-Table1[[#This Row],[CONSUMPTION]]</f>
        <v>1</v>
      </c>
      <c r="F156" s="1">
        <v>1</v>
      </c>
      <c r="G156" s="1" t="s">
        <v>40</v>
      </c>
      <c r="H156" s="4"/>
      <c r="I156" s="31">
        <f t="shared" si="2"/>
        <v>0</v>
      </c>
      <c r="J156" s="4" t="s">
        <v>9</v>
      </c>
      <c r="K156" s="1" t="s">
        <v>253</v>
      </c>
      <c r="L156" s="4"/>
      <c r="M156" s="4"/>
    </row>
    <row r="157" spans="1:13" x14ac:dyDescent="0.25">
      <c r="A157" s="7">
        <v>143</v>
      </c>
      <c r="B157" s="33">
        <v>391223150196</v>
      </c>
      <c r="C157" s="2" t="s">
        <v>262</v>
      </c>
      <c r="D157" s="13" t="s">
        <v>263</v>
      </c>
      <c r="E157" s="1">
        <f>Table1[[#This Row],[QUANTITY]]-Table1[[#This Row],[CONSUMPTION]]</f>
        <v>1</v>
      </c>
      <c r="F157" s="1">
        <v>1</v>
      </c>
      <c r="G157" s="1" t="s">
        <v>40</v>
      </c>
      <c r="H157" s="28">
        <v>1866.51</v>
      </c>
      <c r="I157" s="31">
        <f t="shared" si="2"/>
        <v>1866.51</v>
      </c>
      <c r="J157" s="4" t="s">
        <v>9</v>
      </c>
      <c r="K157" s="1" t="s">
        <v>253</v>
      </c>
      <c r="L157" s="4"/>
      <c r="M157" s="4"/>
    </row>
    <row r="158" spans="1:13" x14ac:dyDescent="0.25">
      <c r="A158" s="7">
        <v>144</v>
      </c>
      <c r="B158" s="34"/>
      <c r="C158" s="11" t="s">
        <v>264</v>
      </c>
      <c r="D158" s="14" t="s">
        <v>265</v>
      </c>
      <c r="E158" s="12">
        <f>Table1[[#This Row],[QUANTITY]]-Table1[[#This Row],[CONSUMPTION]]</f>
        <v>1</v>
      </c>
      <c r="F158" s="1">
        <v>1</v>
      </c>
      <c r="G158" s="1" t="s">
        <v>40</v>
      </c>
      <c r="H158" s="10"/>
      <c r="I158" s="32">
        <f t="shared" si="2"/>
        <v>0</v>
      </c>
      <c r="J158" s="4" t="s">
        <v>9</v>
      </c>
      <c r="K158" s="1" t="s">
        <v>253</v>
      </c>
      <c r="L158" s="4"/>
      <c r="M158" s="4"/>
    </row>
    <row r="159" spans="1:13" x14ac:dyDescent="0.25">
      <c r="A159" s="7">
        <v>145</v>
      </c>
      <c r="B159" s="33"/>
      <c r="C159" s="2"/>
      <c r="D159" s="13" t="s">
        <v>266</v>
      </c>
      <c r="E159" s="1">
        <f>Table1[[#This Row],[QUANTITY]]-Table1[[#This Row],[CONSUMPTION]]</f>
        <v>1</v>
      </c>
      <c r="F159" s="1">
        <v>1</v>
      </c>
      <c r="G159" s="1" t="s">
        <v>40</v>
      </c>
      <c r="H159" s="4"/>
      <c r="I159" s="31">
        <f t="shared" si="2"/>
        <v>0</v>
      </c>
      <c r="J159" s="4" t="s">
        <v>9</v>
      </c>
      <c r="K159" s="1" t="s">
        <v>253</v>
      </c>
      <c r="L159" s="4"/>
      <c r="M159" s="4"/>
    </row>
    <row r="160" spans="1:13" x14ac:dyDescent="0.25">
      <c r="A160" s="7">
        <v>146</v>
      </c>
      <c r="B160" s="33" t="s">
        <v>267</v>
      </c>
      <c r="C160" s="2" t="s">
        <v>268</v>
      </c>
      <c r="D160" s="13" t="s">
        <v>269</v>
      </c>
      <c r="E160" s="1">
        <f>Table1[[#This Row],[QUANTITY]]-Table1[[#This Row],[CONSUMPTION]]</f>
        <v>1</v>
      </c>
      <c r="F160" s="1">
        <v>1</v>
      </c>
      <c r="G160" s="1" t="s">
        <v>40</v>
      </c>
      <c r="H160" s="28">
        <v>18045</v>
      </c>
      <c r="I160" s="31">
        <f t="shared" si="2"/>
        <v>18045</v>
      </c>
      <c r="J160" s="4" t="s">
        <v>9</v>
      </c>
      <c r="K160" s="1" t="s">
        <v>253</v>
      </c>
      <c r="L160" s="4"/>
      <c r="M160" s="4"/>
    </row>
    <row r="161" spans="1:13" x14ac:dyDescent="0.25">
      <c r="A161" s="7">
        <v>147</v>
      </c>
      <c r="B161" s="33"/>
      <c r="C161" s="2">
        <v>6001852500</v>
      </c>
      <c r="D161" s="13" t="s">
        <v>270</v>
      </c>
      <c r="E161" s="1">
        <f>Table1[[#This Row],[QUANTITY]]-Table1[[#This Row],[CONSUMPTION]]</f>
        <v>1</v>
      </c>
      <c r="F161" s="1">
        <v>1</v>
      </c>
      <c r="G161" s="1" t="s">
        <v>40</v>
      </c>
      <c r="H161" s="4"/>
      <c r="I161" s="31">
        <f t="shared" si="2"/>
        <v>0</v>
      </c>
      <c r="J161" s="4" t="s">
        <v>11</v>
      </c>
      <c r="K161" s="1" t="s">
        <v>61</v>
      </c>
      <c r="L161" s="4"/>
      <c r="M161" s="4"/>
    </row>
    <row r="162" spans="1:13" x14ac:dyDescent="0.25">
      <c r="A162" s="7">
        <v>148</v>
      </c>
      <c r="B162" s="33"/>
      <c r="C162" s="2">
        <v>4236045461</v>
      </c>
      <c r="D162" s="13" t="s">
        <v>271</v>
      </c>
      <c r="E162" s="1">
        <f>Table1[[#This Row],[QUANTITY]]-Table1[[#This Row],[CONSUMPTION]]</f>
        <v>1</v>
      </c>
      <c r="F162" s="1">
        <v>1</v>
      </c>
      <c r="G162" s="1" t="s">
        <v>40</v>
      </c>
      <c r="H162" s="4"/>
      <c r="I162" s="31">
        <f t="shared" si="2"/>
        <v>0</v>
      </c>
      <c r="J162" s="4" t="s">
        <v>11</v>
      </c>
      <c r="K162" s="1" t="s">
        <v>61</v>
      </c>
      <c r="L162" s="4"/>
      <c r="M162" s="4"/>
    </row>
    <row r="163" spans="1:13" x14ac:dyDescent="0.25">
      <c r="A163" s="7">
        <v>149</v>
      </c>
      <c r="B163" s="33"/>
      <c r="C163" s="2">
        <v>6003193750</v>
      </c>
      <c r="D163" s="13" t="s">
        <v>272</v>
      </c>
      <c r="E163" s="1">
        <f>Table1[[#This Row],[QUANTITY]]-Table1[[#This Row],[CONSUMPTION]]</f>
        <v>1</v>
      </c>
      <c r="F163" s="1">
        <v>1</v>
      </c>
      <c r="G163" s="1" t="s">
        <v>40</v>
      </c>
      <c r="H163" s="4"/>
      <c r="I163" s="31">
        <f t="shared" si="2"/>
        <v>0</v>
      </c>
      <c r="J163" s="4" t="s">
        <v>11</v>
      </c>
      <c r="K163" s="1" t="s">
        <v>61</v>
      </c>
      <c r="L163" s="4"/>
      <c r="M163" s="4"/>
    </row>
    <row r="164" spans="1:13" x14ac:dyDescent="0.25">
      <c r="A164" s="7">
        <v>150</v>
      </c>
      <c r="B164" s="33"/>
      <c r="C164" s="2">
        <v>6736515142</v>
      </c>
      <c r="D164" s="13" t="s">
        <v>189</v>
      </c>
      <c r="E164" s="1">
        <f>Table1[[#This Row],[QUANTITY]]-Table1[[#This Row],[CONSUMPTION]]</f>
        <v>1</v>
      </c>
      <c r="F164" s="1">
        <v>1</v>
      </c>
      <c r="G164" s="1" t="s">
        <v>40</v>
      </c>
      <c r="H164" s="4"/>
      <c r="I164" s="31">
        <f t="shared" si="2"/>
        <v>0</v>
      </c>
      <c r="J164" s="4" t="s">
        <v>11</v>
      </c>
      <c r="K164" s="1" t="s">
        <v>61</v>
      </c>
      <c r="L164" s="4"/>
      <c r="M164" s="4"/>
    </row>
    <row r="165" spans="1:13" x14ac:dyDescent="0.25">
      <c r="A165" s="7">
        <v>151</v>
      </c>
      <c r="B165" s="33">
        <v>401615130160</v>
      </c>
      <c r="C165" s="2">
        <v>6003193610</v>
      </c>
      <c r="D165" s="13" t="s">
        <v>192</v>
      </c>
      <c r="E165" s="1">
        <f>Table1[[#This Row],[QUANTITY]]-Table1[[#This Row],[CONSUMPTION]]</f>
        <v>4</v>
      </c>
      <c r="F165" s="1">
        <v>4</v>
      </c>
      <c r="G165" s="1" t="s">
        <v>40</v>
      </c>
      <c r="H165" s="28">
        <v>7966.25</v>
      </c>
      <c r="I165" s="31">
        <f t="shared" si="2"/>
        <v>31865</v>
      </c>
      <c r="J165" s="4" t="s">
        <v>11</v>
      </c>
      <c r="K165" s="1" t="s">
        <v>61</v>
      </c>
      <c r="L165" s="4"/>
      <c r="M165" s="4"/>
    </row>
    <row r="166" spans="1:13" x14ac:dyDescent="0.25">
      <c r="A166" s="7">
        <v>152</v>
      </c>
      <c r="B166" s="33"/>
      <c r="C166" s="2">
        <v>7140728713</v>
      </c>
      <c r="D166" s="13" t="s">
        <v>189</v>
      </c>
      <c r="E166" s="1">
        <f>Table1[[#This Row],[QUANTITY]]-Table1[[#This Row],[CONSUMPTION]]</f>
        <v>1</v>
      </c>
      <c r="F166" s="1">
        <v>1</v>
      </c>
      <c r="G166" s="1" t="s">
        <v>40</v>
      </c>
      <c r="H166" s="4"/>
      <c r="I166" s="31">
        <f t="shared" si="2"/>
        <v>0</v>
      </c>
      <c r="J166" s="4" t="s">
        <v>11</v>
      </c>
      <c r="K166" s="1" t="s">
        <v>61</v>
      </c>
      <c r="L166" s="4"/>
      <c r="M166" s="4"/>
    </row>
    <row r="167" spans="1:13" x14ac:dyDescent="0.25">
      <c r="A167" s="7">
        <v>153</v>
      </c>
      <c r="B167" s="34"/>
      <c r="C167" s="11">
        <v>703000252</v>
      </c>
      <c r="D167" s="14" t="s">
        <v>273</v>
      </c>
      <c r="E167" s="12">
        <f>Table1[[#This Row],[QUANTITY]]-Table1[[#This Row],[CONSUMPTION]]</f>
        <v>4</v>
      </c>
      <c r="F167" s="1">
        <v>4</v>
      </c>
      <c r="G167" s="1" t="s">
        <v>40</v>
      </c>
      <c r="H167" s="10"/>
      <c r="I167" s="32">
        <f t="shared" si="2"/>
        <v>0</v>
      </c>
      <c r="J167" s="4" t="s">
        <v>11</v>
      </c>
      <c r="K167" s="1" t="s">
        <v>61</v>
      </c>
      <c r="L167" s="4"/>
      <c r="M167" s="4"/>
    </row>
    <row r="168" spans="1:13" x14ac:dyDescent="0.25">
      <c r="A168" s="7">
        <v>154</v>
      </c>
      <c r="B168" s="33">
        <v>201225120089</v>
      </c>
      <c r="C168" s="2" t="s">
        <v>274</v>
      </c>
      <c r="D168" s="13" t="s">
        <v>275</v>
      </c>
      <c r="E168" s="1">
        <f>Table1[[#This Row],[QUANTITY]]-Table1[[#This Row],[CONSUMPTION]]</f>
        <v>2</v>
      </c>
      <c r="F168" s="1">
        <v>2</v>
      </c>
      <c r="G168" s="1" t="s">
        <v>40</v>
      </c>
      <c r="H168" s="28">
        <v>8815.4699999999993</v>
      </c>
      <c r="I168" s="31">
        <f t="shared" si="2"/>
        <v>17630.939999999999</v>
      </c>
      <c r="J168" s="4" t="s">
        <v>11</v>
      </c>
      <c r="K168" s="1" t="s">
        <v>61</v>
      </c>
      <c r="L168" s="4"/>
      <c r="M168" s="4"/>
    </row>
    <row r="169" spans="1:13" x14ac:dyDescent="0.25">
      <c r="A169" s="7">
        <v>155</v>
      </c>
      <c r="B169" s="33"/>
      <c r="C169" s="2">
        <v>304019000</v>
      </c>
      <c r="D169" s="13" t="s">
        <v>261</v>
      </c>
      <c r="E169" s="1">
        <f>Table1[[#This Row],[QUANTITY]]-Table1[[#This Row],[CONSUMPTION]]</f>
        <v>13</v>
      </c>
      <c r="F169" s="1">
        <v>14</v>
      </c>
      <c r="G169" s="1" t="s">
        <v>40</v>
      </c>
      <c r="H169" s="4"/>
      <c r="I169" s="31">
        <f t="shared" si="2"/>
        <v>0</v>
      </c>
      <c r="J169" s="4" t="s">
        <v>17</v>
      </c>
      <c r="K169" s="1" t="s">
        <v>276</v>
      </c>
      <c r="L169" s="4">
        <v>1</v>
      </c>
      <c r="M169" s="4" t="s">
        <v>277</v>
      </c>
    </row>
    <row r="170" spans="1:13" x14ac:dyDescent="0.25">
      <c r="A170" s="7">
        <v>156</v>
      </c>
      <c r="B170" s="33"/>
      <c r="C170" s="2">
        <v>392242000</v>
      </c>
      <c r="D170" s="13" t="s">
        <v>278</v>
      </c>
      <c r="E170" s="1">
        <f>Table1[[#This Row],[QUANTITY]]-Table1[[#This Row],[CONSUMPTION]]</f>
        <v>0</v>
      </c>
      <c r="F170" s="1">
        <v>1</v>
      </c>
      <c r="G170" s="1" t="s">
        <v>40</v>
      </c>
      <c r="H170" s="4"/>
      <c r="I170" s="31">
        <f t="shared" si="2"/>
        <v>0</v>
      </c>
      <c r="J170" s="4" t="s">
        <v>17</v>
      </c>
      <c r="K170" s="1" t="s">
        <v>276</v>
      </c>
      <c r="L170" s="4">
        <v>1</v>
      </c>
      <c r="M170" s="4" t="s">
        <v>277</v>
      </c>
    </row>
    <row r="171" spans="1:13" x14ac:dyDescent="0.25">
      <c r="A171" s="7">
        <v>157</v>
      </c>
      <c r="B171" s="33">
        <v>261116019967</v>
      </c>
      <c r="C171" s="2" t="s">
        <v>279</v>
      </c>
      <c r="D171" s="13" t="s">
        <v>280</v>
      </c>
      <c r="E171" s="1">
        <f>Table1[[#This Row],[QUANTITY]]-Table1[[#This Row],[CONSUMPTION]]</f>
        <v>2</v>
      </c>
      <c r="F171" s="1">
        <v>2</v>
      </c>
      <c r="G171" s="1" t="s">
        <v>40</v>
      </c>
      <c r="H171" s="4"/>
      <c r="I171" s="31">
        <f t="shared" si="2"/>
        <v>0</v>
      </c>
      <c r="J171" s="4" t="s">
        <v>17</v>
      </c>
      <c r="K171" s="1" t="s">
        <v>276</v>
      </c>
      <c r="L171" s="4"/>
      <c r="M171" s="4"/>
    </row>
    <row r="172" spans="1:13" x14ac:dyDescent="0.25">
      <c r="A172" s="7">
        <v>158</v>
      </c>
      <c r="B172" s="33"/>
      <c r="C172" s="2">
        <v>4811704000</v>
      </c>
      <c r="D172" s="13" t="s">
        <v>278</v>
      </c>
      <c r="E172" s="1">
        <f>Table1[[#This Row],[QUANTITY]]-Table1[[#This Row],[CONSUMPTION]]</f>
        <v>0</v>
      </c>
      <c r="F172" s="1">
        <v>1</v>
      </c>
      <c r="G172" s="1" t="s">
        <v>40</v>
      </c>
      <c r="H172" s="4"/>
      <c r="I172" s="31">
        <f t="shared" si="2"/>
        <v>0</v>
      </c>
      <c r="J172" s="4" t="s">
        <v>17</v>
      </c>
      <c r="K172" s="1" t="s">
        <v>276</v>
      </c>
      <c r="L172" s="4">
        <v>1</v>
      </c>
      <c r="M172" s="4" t="s">
        <v>281</v>
      </c>
    </row>
    <row r="173" spans="1:13" x14ac:dyDescent="0.25">
      <c r="A173" s="7">
        <v>159</v>
      </c>
      <c r="B173" s="33"/>
      <c r="C173" s="2" t="s">
        <v>282</v>
      </c>
      <c r="D173" s="13" t="s">
        <v>283</v>
      </c>
      <c r="E173" s="1">
        <f>Table1[[#This Row],[QUANTITY]]-Table1[[#This Row],[CONSUMPTION]]</f>
        <v>1</v>
      </c>
      <c r="F173" s="1">
        <v>1</v>
      </c>
      <c r="G173" s="1" t="s">
        <v>40</v>
      </c>
      <c r="H173" s="4"/>
      <c r="I173" s="31">
        <f t="shared" si="2"/>
        <v>0</v>
      </c>
      <c r="J173" s="4" t="s">
        <v>17</v>
      </c>
      <c r="K173" s="1" t="s">
        <v>276</v>
      </c>
      <c r="L173" s="4"/>
      <c r="M173" s="4"/>
    </row>
    <row r="174" spans="1:13" x14ac:dyDescent="0.25">
      <c r="A174" s="7">
        <v>160</v>
      </c>
      <c r="B174" s="33"/>
      <c r="C174" s="2">
        <v>931590044100</v>
      </c>
      <c r="D174" s="13" t="s">
        <v>284</v>
      </c>
      <c r="E174" s="1">
        <f>Table1[[#This Row],[QUANTITY]]-Table1[[#This Row],[CONSUMPTION]]</f>
        <v>2</v>
      </c>
      <c r="F174" s="1">
        <v>3</v>
      </c>
      <c r="G174" s="1" t="s">
        <v>40</v>
      </c>
      <c r="H174" s="4"/>
      <c r="I174" s="31">
        <f t="shared" si="2"/>
        <v>0</v>
      </c>
      <c r="J174" s="4" t="s">
        <v>13</v>
      </c>
      <c r="K174" s="1" t="s">
        <v>285</v>
      </c>
      <c r="L174" s="4">
        <v>1</v>
      </c>
      <c r="M174" s="4"/>
    </row>
    <row r="175" spans="1:13" x14ac:dyDescent="0.25">
      <c r="A175" s="7">
        <v>161</v>
      </c>
      <c r="B175" s="34" t="s">
        <v>286</v>
      </c>
      <c r="C175" s="11" t="s">
        <v>287</v>
      </c>
      <c r="D175" s="14" t="s">
        <v>288</v>
      </c>
      <c r="E175" s="12">
        <f>Table1[[#This Row],[QUANTITY]]-Table1[[#This Row],[CONSUMPTION]]</f>
        <v>5</v>
      </c>
      <c r="F175" s="1">
        <v>6</v>
      </c>
      <c r="G175" s="1" t="s">
        <v>40</v>
      </c>
      <c r="H175" s="10">
        <v>537.67999999999995</v>
      </c>
      <c r="I175" s="32">
        <f t="shared" si="2"/>
        <v>2688.3999999999996</v>
      </c>
      <c r="J175" s="4" t="s">
        <v>13</v>
      </c>
      <c r="K175" s="1" t="s">
        <v>285</v>
      </c>
      <c r="L175" s="4">
        <v>1</v>
      </c>
      <c r="M175" s="4" t="s">
        <v>289</v>
      </c>
    </row>
    <row r="176" spans="1:13" x14ac:dyDescent="0.25">
      <c r="A176" s="7">
        <v>162</v>
      </c>
      <c r="B176" s="33"/>
      <c r="C176" s="2">
        <v>931590022000</v>
      </c>
      <c r="D176" s="13" t="s">
        <v>290</v>
      </c>
      <c r="E176" s="12">
        <f>Table1[[#This Row],[QUANTITY]]-Table1[[#This Row],[CONSUMPTION]]</f>
        <v>2</v>
      </c>
      <c r="F176" s="1">
        <v>2</v>
      </c>
      <c r="G176" s="1" t="s">
        <v>40</v>
      </c>
      <c r="H176" s="4"/>
      <c r="I176" s="32">
        <f t="shared" si="2"/>
        <v>0</v>
      </c>
      <c r="J176" s="4" t="s">
        <v>13</v>
      </c>
      <c r="K176" s="1" t="s">
        <v>285</v>
      </c>
      <c r="L176" s="4"/>
      <c r="M176" s="4"/>
    </row>
    <row r="177" spans="1:13" x14ac:dyDescent="0.25">
      <c r="A177" s="7">
        <v>163</v>
      </c>
      <c r="B177" s="33" t="s">
        <v>291</v>
      </c>
      <c r="C177" s="2">
        <v>931590014700</v>
      </c>
      <c r="D177" s="13" t="s">
        <v>292</v>
      </c>
      <c r="E177" s="12">
        <f>Table1[[#This Row],[QUANTITY]]-Table1[[#This Row],[CONSUMPTION]]</f>
        <v>5</v>
      </c>
      <c r="F177" s="1">
        <v>6</v>
      </c>
      <c r="G177" s="1" t="s">
        <v>40</v>
      </c>
      <c r="H177" s="28">
        <v>1099.8</v>
      </c>
      <c r="I177" s="32">
        <f t="shared" si="2"/>
        <v>5499</v>
      </c>
      <c r="J177" s="4" t="s">
        <v>13</v>
      </c>
      <c r="K177" s="1" t="s">
        <v>285</v>
      </c>
      <c r="L177" s="4">
        <v>1</v>
      </c>
      <c r="M177" s="4" t="s">
        <v>289</v>
      </c>
    </row>
    <row r="178" spans="1:13" x14ac:dyDescent="0.25">
      <c r="A178" s="7">
        <v>164</v>
      </c>
      <c r="B178" s="33"/>
      <c r="C178" s="2">
        <v>922100000200</v>
      </c>
      <c r="D178" s="13" t="s">
        <v>293</v>
      </c>
      <c r="E178" s="12">
        <f>Table1[[#This Row],[QUANTITY]]-Table1[[#This Row],[CONSUMPTION]]</f>
        <v>9</v>
      </c>
      <c r="F178" s="1">
        <v>9</v>
      </c>
      <c r="G178" s="1" t="s">
        <v>40</v>
      </c>
      <c r="H178" s="4"/>
      <c r="I178" s="32">
        <f t="shared" si="2"/>
        <v>0</v>
      </c>
      <c r="J178" s="4" t="s">
        <v>13</v>
      </c>
      <c r="K178" s="1" t="s">
        <v>285</v>
      </c>
      <c r="L178" s="4"/>
      <c r="M178" s="4"/>
    </row>
    <row r="179" spans="1:13" x14ac:dyDescent="0.25">
      <c r="A179" s="7">
        <v>165</v>
      </c>
      <c r="B179" s="33" t="s">
        <v>294</v>
      </c>
      <c r="C179" s="2" t="s">
        <v>295</v>
      </c>
      <c r="D179" s="13" t="s">
        <v>255</v>
      </c>
      <c r="E179" s="12">
        <f>Table1[[#This Row],[QUANTITY]]-Table1[[#This Row],[CONSUMPTION]]</f>
        <v>4</v>
      </c>
      <c r="F179" s="1">
        <v>4</v>
      </c>
      <c r="G179" s="1" t="s">
        <v>40</v>
      </c>
      <c r="H179" s="4">
        <v>212.29</v>
      </c>
      <c r="I179" s="32">
        <f t="shared" si="2"/>
        <v>849.16</v>
      </c>
      <c r="J179" s="4" t="s">
        <v>13</v>
      </c>
      <c r="K179" s="1" t="s">
        <v>285</v>
      </c>
      <c r="L179" s="4"/>
      <c r="M179" s="4"/>
    </row>
    <row r="180" spans="1:13" x14ac:dyDescent="0.25">
      <c r="A180" s="7">
        <v>166</v>
      </c>
      <c r="B180" s="34" t="s">
        <v>296</v>
      </c>
      <c r="C180" s="11">
        <v>931590014500</v>
      </c>
      <c r="D180" s="14" t="s">
        <v>297</v>
      </c>
      <c r="E180" s="12">
        <f>Table1[[#This Row],[QUANTITY]]-Table1[[#This Row],[CONSUMPTION]]</f>
        <v>6</v>
      </c>
      <c r="F180" s="12">
        <v>6</v>
      </c>
      <c r="G180" s="1" t="s">
        <v>40</v>
      </c>
      <c r="H180" s="10">
        <v>134.41999999999999</v>
      </c>
      <c r="I180" s="32">
        <f t="shared" si="2"/>
        <v>806.52</v>
      </c>
      <c r="J180" s="4" t="s">
        <v>13</v>
      </c>
      <c r="K180" s="12" t="s">
        <v>285</v>
      </c>
      <c r="L180" s="10"/>
      <c r="M180" s="10"/>
    </row>
    <row r="181" spans="1:13" x14ac:dyDescent="0.25">
      <c r="A181" s="7">
        <v>167</v>
      </c>
      <c r="B181" s="33" t="s">
        <v>298</v>
      </c>
      <c r="C181" s="2">
        <v>101247101014</v>
      </c>
      <c r="D181" s="13" t="s">
        <v>299</v>
      </c>
      <c r="E181" s="12">
        <f>Table1[[#This Row],[QUANTITY]]-Table1[[#This Row],[CONSUMPTION]]</f>
        <v>1</v>
      </c>
      <c r="F181" s="1">
        <v>1</v>
      </c>
      <c r="G181" s="1" t="s">
        <v>40</v>
      </c>
      <c r="H181" s="4"/>
      <c r="I181" s="32">
        <f t="shared" si="2"/>
        <v>0</v>
      </c>
      <c r="J181" s="4" t="s">
        <v>13</v>
      </c>
      <c r="K181" s="1" t="s">
        <v>285</v>
      </c>
      <c r="L181" s="4"/>
      <c r="M181" s="4"/>
    </row>
    <row r="182" spans="1:13" x14ac:dyDescent="0.25">
      <c r="A182" s="7">
        <v>168</v>
      </c>
      <c r="B182" s="33" t="s">
        <v>300</v>
      </c>
      <c r="C182" s="2">
        <v>929200002100</v>
      </c>
      <c r="D182" s="13" t="s">
        <v>301</v>
      </c>
      <c r="E182" s="12">
        <f>Table1[[#This Row],[QUANTITY]]-Table1[[#This Row],[CONSUMPTION]]</f>
        <v>4</v>
      </c>
      <c r="F182" s="1">
        <v>4</v>
      </c>
      <c r="G182" s="1" t="s">
        <v>40</v>
      </c>
      <c r="H182" s="4"/>
      <c r="I182" s="32">
        <f t="shared" si="2"/>
        <v>0</v>
      </c>
      <c r="J182" s="4" t="s">
        <v>13</v>
      </c>
      <c r="K182" s="1" t="s">
        <v>285</v>
      </c>
      <c r="L182" s="4"/>
      <c r="M182" s="4"/>
    </row>
    <row r="183" spans="1:13" x14ac:dyDescent="0.25">
      <c r="A183" s="7">
        <v>169</v>
      </c>
      <c r="B183" s="33" t="s">
        <v>302</v>
      </c>
      <c r="C183" s="2">
        <v>927000001600</v>
      </c>
      <c r="D183" s="13" t="s">
        <v>303</v>
      </c>
      <c r="E183" s="12">
        <f>Table1[[#This Row],[QUANTITY]]-Table1[[#This Row],[CONSUMPTION]]</f>
        <v>2</v>
      </c>
      <c r="F183" s="1">
        <v>2</v>
      </c>
      <c r="G183" s="1" t="s">
        <v>40</v>
      </c>
      <c r="H183" s="4"/>
      <c r="I183" s="32">
        <f t="shared" si="2"/>
        <v>0</v>
      </c>
      <c r="J183" s="4" t="s">
        <v>13</v>
      </c>
      <c r="K183" s="1" t="s">
        <v>285</v>
      </c>
      <c r="L183" s="4"/>
      <c r="M183" s="4"/>
    </row>
    <row r="184" spans="1:13" x14ac:dyDescent="0.25">
      <c r="A184" s="7">
        <v>170</v>
      </c>
      <c r="B184" s="33" t="s">
        <v>286</v>
      </c>
      <c r="C184" s="2">
        <v>931590044300</v>
      </c>
      <c r="D184" s="13" t="s">
        <v>304</v>
      </c>
      <c r="E184" s="12">
        <f>Table1[[#This Row],[QUANTITY]]-Table1[[#This Row],[CONSUMPTION]]</f>
        <v>2</v>
      </c>
      <c r="F184" s="1">
        <v>2</v>
      </c>
      <c r="G184" s="1" t="s">
        <v>40</v>
      </c>
      <c r="H184" s="4">
        <v>537.67999999999995</v>
      </c>
      <c r="I184" s="32">
        <f t="shared" si="2"/>
        <v>1075.3599999999999</v>
      </c>
      <c r="J184" s="4" t="s">
        <v>13</v>
      </c>
      <c r="K184" s="1" t="s">
        <v>285</v>
      </c>
      <c r="L184" s="4"/>
      <c r="M184" s="4"/>
    </row>
    <row r="185" spans="1:13" x14ac:dyDescent="0.25">
      <c r="A185" s="7">
        <v>171</v>
      </c>
      <c r="B185" s="33">
        <v>314015030131</v>
      </c>
      <c r="C185" s="2">
        <v>931590021600</v>
      </c>
      <c r="D185" s="13" t="s">
        <v>305</v>
      </c>
      <c r="E185" s="12">
        <f>Table1[[#This Row],[QUANTITY]]-Table1[[#This Row],[CONSUMPTION]]</f>
        <v>6</v>
      </c>
      <c r="F185" s="1">
        <v>6</v>
      </c>
      <c r="G185" s="1" t="s">
        <v>40</v>
      </c>
      <c r="H185" s="4"/>
      <c r="I185" s="32">
        <f t="shared" si="2"/>
        <v>0</v>
      </c>
      <c r="J185" s="4" t="s">
        <v>13</v>
      </c>
      <c r="K185" s="1" t="s">
        <v>285</v>
      </c>
      <c r="L185" s="4"/>
      <c r="M185" s="4"/>
    </row>
    <row r="186" spans="1:13" x14ac:dyDescent="0.25">
      <c r="A186" s="7">
        <v>172</v>
      </c>
      <c r="B186" s="33"/>
      <c r="C186" s="2">
        <v>931590044200</v>
      </c>
      <c r="D186" s="13" t="s">
        <v>305</v>
      </c>
      <c r="E186" s="12">
        <f>Table1[[#This Row],[QUANTITY]]-Table1[[#This Row],[CONSUMPTION]]</f>
        <v>3</v>
      </c>
      <c r="F186" s="1">
        <v>3</v>
      </c>
      <c r="G186" s="1" t="s">
        <v>40</v>
      </c>
      <c r="H186" s="4">
        <v>537.67999999999995</v>
      </c>
      <c r="I186" s="32">
        <f t="shared" si="2"/>
        <v>1613.04</v>
      </c>
      <c r="J186" s="4" t="s">
        <v>13</v>
      </c>
      <c r="K186" s="1" t="s">
        <v>285</v>
      </c>
      <c r="L186" s="4"/>
      <c r="M186" s="4"/>
    </row>
    <row r="187" spans="1:13" x14ac:dyDescent="0.25">
      <c r="A187" s="7">
        <v>173</v>
      </c>
      <c r="B187" s="33">
        <v>314015030133</v>
      </c>
      <c r="C187" s="2">
        <v>931590021700</v>
      </c>
      <c r="D187" s="13" t="s">
        <v>248</v>
      </c>
      <c r="E187" s="12">
        <f>Table1[[#This Row],[QUANTITY]]-Table1[[#This Row],[CONSUMPTION]]</f>
        <v>6</v>
      </c>
      <c r="F187" s="1">
        <v>6</v>
      </c>
      <c r="G187" s="1" t="s">
        <v>40</v>
      </c>
      <c r="H187" s="4"/>
      <c r="I187" s="32">
        <f t="shared" si="2"/>
        <v>0</v>
      </c>
      <c r="J187" s="4" t="s">
        <v>13</v>
      </c>
      <c r="K187" s="1" t="s">
        <v>285</v>
      </c>
      <c r="L187" s="4"/>
      <c r="M187" s="4"/>
    </row>
    <row r="188" spans="1:13" x14ac:dyDescent="0.25">
      <c r="A188" s="7">
        <v>174</v>
      </c>
      <c r="B188" s="33" t="s">
        <v>286</v>
      </c>
      <c r="C188" s="2">
        <v>931590044400</v>
      </c>
      <c r="D188" s="13" t="s">
        <v>306</v>
      </c>
      <c r="E188" s="12">
        <f>Table1[[#This Row],[QUANTITY]]-Table1[[#This Row],[CONSUMPTION]]</f>
        <v>1</v>
      </c>
      <c r="F188" s="1">
        <v>1</v>
      </c>
      <c r="G188" s="1" t="s">
        <v>40</v>
      </c>
      <c r="H188" s="4"/>
      <c r="I188" s="32">
        <f t="shared" si="2"/>
        <v>0</v>
      </c>
      <c r="J188" s="4" t="s">
        <v>13</v>
      </c>
      <c r="K188" s="1" t="s">
        <v>285</v>
      </c>
      <c r="L188" s="4"/>
      <c r="M188" s="4"/>
    </row>
    <row r="189" spans="1:13" x14ac:dyDescent="0.25">
      <c r="A189" s="7">
        <v>175</v>
      </c>
      <c r="B189" s="33" t="s">
        <v>307</v>
      </c>
      <c r="C189" s="2">
        <v>101086100100</v>
      </c>
      <c r="D189" s="13" t="s">
        <v>308</v>
      </c>
      <c r="E189" s="12">
        <f>Table1[[#This Row],[QUANTITY]]-Table1[[#This Row],[CONSUMPTION]]</f>
        <v>3</v>
      </c>
      <c r="F189" s="1">
        <v>4</v>
      </c>
      <c r="G189" s="1" t="s">
        <v>40</v>
      </c>
      <c r="H189" s="4"/>
      <c r="I189" s="32">
        <f t="shared" si="2"/>
        <v>0</v>
      </c>
      <c r="J189" s="4" t="s">
        <v>13</v>
      </c>
      <c r="K189" s="1" t="s">
        <v>309</v>
      </c>
      <c r="L189" s="4">
        <v>1</v>
      </c>
      <c r="M189" s="4"/>
    </row>
    <row r="190" spans="1:13" x14ac:dyDescent="0.25">
      <c r="A190" s="7">
        <v>176</v>
      </c>
      <c r="B190" s="33" t="s">
        <v>310</v>
      </c>
      <c r="C190" s="2">
        <v>101393300200</v>
      </c>
      <c r="D190" s="13" t="s">
        <v>311</v>
      </c>
      <c r="E190" s="12">
        <f>Table1[[#This Row],[QUANTITY]]-Table1[[#This Row],[CONSUMPTION]]</f>
        <v>2</v>
      </c>
      <c r="F190" s="1">
        <v>2</v>
      </c>
      <c r="G190" s="1" t="s">
        <v>40</v>
      </c>
      <c r="H190" s="4"/>
      <c r="I190" s="32">
        <f t="shared" si="2"/>
        <v>0</v>
      </c>
      <c r="J190" s="4" t="s">
        <v>13</v>
      </c>
      <c r="K190" s="1" t="s">
        <v>309</v>
      </c>
      <c r="L190" s="4"/>
      <c r="M190" s="4"/>
    </row>
    <row r="191" spans="1:13" x14ac:dyDescent="0.25">
      <c r="A191" s="7">
        <v>177</v>
      </c>
      <c r="B191" s="33"/>
      <c r="C191" s="2">
        <v>101393300300</v>
      </c>
      <c r="D191" s="13" t="s">
        <v>312</v>
      </c>
      <c r="E191" s="12">
        <f>Table1[[#This Row],[QUANTITY]]-Table1[[#This Row],[CONSUMPTION]]</f>
        <v>1</v>
      </c>
      <c r="F191" s="1">
        <v>1</v>
      </c>
      <c r="G191" s="1" t="s">
        <v>40</v>
      </c>
      <c r="H191" s="4"/>
      <c r="I191" s="32">
        <f t="shared" si="2"/>
        <v>0</v>
      </c>
      <c r="J191" s="4" t="s">
        <v>13</v>
      </c>
      <c r="K191" s="1" t="s">
        <v>309</v>
      </c>
      <c r="L191" s="4"/>
      <c r="M191" s="4"/>
    </row>
    <row r="192" spans="1:13" x14ac:dyDescent="0.25">
      <c r="A192" s="7">
        <v>178</v>
      </c>
      <c r="B192" s="33" t="s">
        <v>313</v>
      </c>
      <c r="C192" s="2">
        <v>101393400500</v>
      </c>
      <c r="D192" s="13" t="s">
        <v>314</v>
      </c>
      <c r="E192" s="12">
        <f>Table1[[#This Row],[QUANTITY]]-Table1[[#This Row],[CONSUMPTION]]</f>
        <v>4</v>
      </c>
      <c r="F192" s="1">
        <v>4</v>
      </c>
      <c r="G192" s="1" t="s">
        <v>40</v>
      </c>
      <c r="H192" s="4"/>
      <c r="I192" s="32">
        <f t="shared" si="2"/>
        <v>0</v>
      </c>
      <c r="J192" s="4" t="s">
        <v>13</v>
      </c>
      <c r="K192" s="1" t="s">
        <v>309</v>
      </c>
      <c r="L192" s="4"/>
      <c r="M192" s="4"/>
    </row>
    <row r="193" spans="1:13" x14ac:dyDescent="0.25">
      <c r="A193" s="7">
        <v>179</v>
      </c>
      <c r="B193" s="33"/>
      <c r="C193" s="2">
        <v>955700000100</v>
      </c>
      <c r="D193" s="13" t="s">
        <v>315</v>
      </c>
      <c r="E193" s="12">
        <f>Table1[[#This Row],[QUANTITY]]-Table1[[#This Row],[CONSUMPTION]]</f>
        <v>2</v>
      </c>
      <c r="F193" s="1">
        <v>2</v>
      </c>
      <c r="G193" s="1" t="s">
        <v>40</v>
      </c>
      <c r="H193" s="4"/>
      <c r="I193" s="32">
        <f t="shared" si="2"/>
        <v>0</v>
      </c>
      <c r="J193" s="4" t="s">
        <v>13</v>
      </c>
      <c r="K193" s="1" t="s">
        <v>309</v>
      </c>
      <c r="L193" s="4"/>
      <c r="M193" s="4"/>
    </row>
    <row r="194" spans="1:13" x14ac:dyDescent="0.25">
      <c r="A194" s="7">
        <v>180</v>
      </c>
      <c r="B194" s="33">
        <v>241118000238</v>
      </c>
      <c r="C194" s="2">
        <v>955910000800</v>
      </c>
      <c r="D194" s="13" t="s">
        <v>316</v>
      </c>
      <c r="E194" s="12">
        <f>Table1[[#This Row],[QUANTITY]]-Table1[[#This Row],[CONSUMPTION]]</f>
        <v>0</v>
      </c>
      <c r="F194" s="1">
        <v>1</v>
      </c>
      <c r="G194" s="1" t="s">
        <v>40</v>
      </c>
      <c r="H194" s="28">
        <v>1850.6</v>
      </c>
      <c r="I194" s="32">
        <f t="shared" si="2"/>
        <v>0</v>
      </c>
      <c r="J194" s="4" t="s">
        <v>13</v>
      </c>
      <c r="K194" s="1" t="s">
        <v>309</v>
      </c>
      <c r="L194" s="4">
        <v>1</v>
      </c>
      <c r="M194" s="4"/>
    </row>
    <row r="195" spans="1:13" x14ac:dyDescent="0.25">
      <c r="A195" s="7">
        <v>181</v>
      </c>
      <c r="B195" s="33"/>
      <c r="C195" s="2">
        <v>101393400200</v>
      </c>
      <c r="D195" s="13" t="s">
        <v>317</v>
      </c>
      <c r="E195" s="12">
        <f>Table1[[#This Row],[QUANTITY]]-Table1[[#This Row],[CONSUMPTION]]</f>
        <v>2</v>
      </c>
      <c r="F195" s="1">
        <v>2</v>
      </c>
      <c r="G195" s="1" t="s">
        <v>40</v>
      </c>
      <c r="H195" s="4"/>
      <c r="I195" s="32">
        <f t="shared" si="2"/>
        <v>0</v>
      </c>
      <c r="J195" s="4" t="s">
        <v>13</v>
      </c>
      <c r="K195" s="1" t="s">
        <v>309</v>
      </c>
      <c r="L195" s="4"/>
      <c r="M195" s="4"/>
    </row>
    <row r="196" spans="1:13" x14ac:dyDescent="0.25">
      <c r="A196" s="7">
        <v>182</v>
      </c>
      <c r="B196" s="33" t="s">
        <v>318</v>
      </c>
      <c r="C196" s="2">
        <v>101026141100</v>
      </c>
      <c r="D196" s="13" t="s">
        <v>319</v>
      </c>
      <c r="E196" s="12">
        <f>Table1[[#This Row],[QUANTITY]]-Table1[[#This Row],[CONSUMPTION]]</f>
        <v>2</v>
      </c>
      <c r="F196" s="1">
        <v>2</v>
      </c>
      <c r="G196" s="1" t="s">
        <v>40</v>
      </c>
      <c r="H196" s="4"/>
      <c r="I196" s="32">
        <f t="shared" si="2"/>
        <v>0</v>
      </c>
      <c r="J196" s="4" t="s">
        <v>13</v>
      </c>
      <c r="K196" s="1" t="s">
        <v>309</v>
      </c>
      <c r="L196" s="4"/>
      <c r="M196" s="4"/>
    </row>
    <row r="197" spans="1:13" x14ac:dyDescent="0.25">
      <c r="A197" s="7">
        <v>183</v>
      </c>
      <c r="B197" s="33"/>
      <c r="C197" s="2">
        <v>10522428700</v>
      </c>
      <c r="D197" s="13" t="s">
        <v>320</v>
      </c>
      <c r="E197" s="12">
        <f>Table1[[#This Row],[QUANTITY]]-Table1[[#This Row],[CONSUMPTION]]</f>
        <v>2</v>
      </c>
      <c r="F197" s="1">
        <v>2</v>
      </c>
      <c r="G197" s="1" t="s">
        <v>40</v>
      </c>
      <c r="H197" s="4"/>
      <c r="I197" s="32">
        <f t="shared" si="2"/>
        <v>0</v>
      </c>
      <c r="J197" s="4" t="s">
        <v>13</v>
      </c>
      <c r="K197" s="1" t="s">
        <v>321</v>
      </c>
      <c r="L197" s="4"/>
      <c r="M197" s="4"/>
    </row>
    <row r="198" spans="1:13" x14ac:dyDescent="0.25">
      <c r="A198" s="7">
        <v>184</v>
      </c>
      <c r="B198" s="33" t="s">
        <v>322</v>
      </c>
      <c r="C198" s="2">
        <v>933100000500</v>
      </c>
      <c r="D198" s="13" t="s">
        <v>323</v>
      </c>
      <c r="E198" s="12">
        <f>Table1[[#This Row],[QUANTITY]]-Table1[[#This Row],[CONSUMPTION]]</f>
        <v>4</v>
      </c>
      <c r="F198" s="1">
        <v>4</v>
      </c>
      <c r="G198" s="1" t="s">
        <v>40</v>
      </c>
      <c r="H198" s="4"/>
      <c r="I198" s="32">
        <f t="shared" si="2"/>
        <v>0</v>
      </c>
      <c r="J198" s="4" t="s">
        <v>13</v>
      </c>
      <c r="K198" s="1" t="s">
        <v>321</v>
      </c>
      <c r="L198" s="4"/>
      <c r="M198" s="4"/>
    </row>
    <row r="199" spans="1:13" x14ac:dyDescent="0.25">
      <c r="A199" s="7">
        <v>185</v>
      </c>
      <c r="B199" s="33" t="s">
        <v>324</v>
      </c>
      <c r="C199" s="2">
        <v>933500001100</v>
      </c>
      <c r="D199" s="13" t="s">
        <v>325</v>
      </c>
      <c r="E199" s="12">
        <f>Table1[[#This Row],[QUANTITY]]-Table1[[#This Row],[CONSUMPTION]]</f>
        <v>3</v>
      </c>
      <c r="F199" s="1">
        <v>3</v>
      </c>
      <c r="G199" s="1" t="s">
        <v>40</v>
      </c>
      <c r="H199" s="4"/>
      <c r="I199" s="32">
        <f t="shared" si="2"/>
        <v>0</v>
      </c>
      <c r="J199" s="4" t="s">
        <v>13</v>
      </c>
      <c r="K199" s="1" t="s">
        <v>321</v>
      </c>
      <c r="L199" s="4"/>
      <c r="M199" s="4"/>
    </row>
    <row r="200" spans="1:13" x14ac:dyDescent="0.25">
      <c r="A200" s="7">
        <v>186</v>
      </c>
      <c r="B200" s="33"/>
      <c r="C200" s="2">
        <v>101393300600</v>
      </c>
      <c r="D200" s="13" t="s">
        <v>326</v>
      </c>
      <c r="E200" s="12">
        <f>Table1[[#This Row],[QUANTITY]]-Table1[[#This Row],[CONSUMPTION]]</f>
        <v>2</v>
      </c>
      <c r="F200" s="1">
        <v>2</v>
      </c>
      <c r="G200" s="1" t="s">
        <v>40</v>
      </c>
      <c r="H200" s="4"/>
      <c r="I200" s="32">
        <f t="shared" si="2"/>
        <v>0</v>
      </c>
      <c r="J200" s="4" t="s">
        <v>13</v>
      </c>
      <c r="K200" s="1" t="s">
        <v>321</v>
      </c>
      <c r="L200" s="4"/>
      <c r="M200" s="4"/>
    </row>
    <row r="201" spans="1:13" x14ac:dyDescent="0.25">
      <c r="A201" s="7">
        <v>187</v>
      </c>
      <c r="B201" s="33"/>
      <c r="C201" s="2">
        <v>101303300200</v>
      </c>
      <c r="D201" s="13" t="s">
        <v>326</v>
      </c>
      <c r="E201" s="12">
        <f>Table1[[#This Row],[QUANTITY]]-Table1[[#This Row],[CONSUMPTION]]</f>
        <v>2</v>
      </c>
      <c r="F201" s="1">
        <v>2</v>
      </c>
      <c r="G201" s="1" t="s">
        <v>40</v>
      </c>
      <c r="H201" s="4"/>
      <c r="I201" s="32">
        <f t="shared" si="2"/>
        <v>0</v>
      </c>
      <c r="J201" s="4" t="s">
        <v>13</v>
      </c>
      <c r="K201" s="1" t="s">
        <v>321</v>
      </c>
      <c r="L201" s="4"/>
      <c r="M201" s="4"/>
    </row>
    <row r="202" spans="1:13" x14ac:dyDescent="0.25">
      <c r="A202" s="7">
        <v>188</v>
      </c>
      <c r="B202" s="33" t="s">
        <v>327</v>
      </c>
      <c r="C202" s="2">
        <v>101521426500</v>
      </c>
      <c r="D202" s="13" t="s">
        <v>70</v>
      </c>
      <c r="E202" s="12">
        <f>Table1[[#This Row],[QUANTITY]]-Table1[[#This Row],[CONSUMPTION]]</f>
        <v>2</v>
      </c>
      <c r="F202" s="1">
        <v>2</v>
      </c>
      <c r="G202" s="1" t="s">
        <v>40</v>
      </c>
      <c r="H202" s="4"/>
      <c r="I202" s="32">
        <f t="shared" si="2"/>
        <v>0</v>
      </c>
      <c r="J202" s="4" t="s">
        <v>13</v>
      </c>
      <c r="K202" s="1" t="s">
        <v>321</v>
      </c>
      <c r="L202" s="4"/>
      <c r="M202" s="4"/>
    </row>
    <row r="203" spans="1:13" x14ac:dyDescent="0.25">
      <c r="A203" s="7">
        <v>189</v>
      </c>
      <c r="B203" s="33"/>
      <c r="C203" s="2" t="s">
        <v>328</v>
      </c>
      <c r="D203" s="13" t="s">
        <v>329</v>
      </c>
      <c r="E203" s="12">
        <f>Table1[[#This Row],[QUANTITY]]-Table1[[#This Row],[CONSUMPTION]]</f>
        <v>1</v>
      </c>
      <c r="F203" s="1">
        <v>1</v>
      </c>
      <c r="G203" s="1" t="s">
        <v>40</v>
      </c>
      <c r="H203" s="4"/>
      <c r="I203" s="32">
        <f t="shared" si="2"/>
        <v>0</v>
      </c>
      <c r="J203" s="4" t="s">
        <v>13</v>
      </c>
      <c r="K203" s="1" t="s">
        <v>321</v>
      </c>
      <c r="L203" s="4"/>
      <c r="M203" s="4"/>
    </row>
    <row r="204" spans="1:13" x14ac:dyDescent="0.25">
      <c r="A204" s="7">
        <v>190</v>
      </c>
      <c r="B204" s="33"/>
      <c r="C204" s="2"/>
      <c r="D204" s="13" t="s">
        <v>70</v>
      </c>
      <c r="E204" s="12">
        <f>Table1[[#This Row],[QUANTITY]]-Table1[[#This Row],[CONSUMPTION]]</f>
        <v>1</v>
      </c>
      <c r="F204" s="1">
        <v>1</v>
      </c>
      <c r="G204" s="1" t="s">
        <v>40</v>
      </c>
      <c r="H204" s="4"/>
      <c r="I204" s="32">
        <f t="shared" si="2"/>
        <v>0</v>
      </c>
      <c r="J204" s="4" t="s">
        <v>13</v>
      </c>
      <c r="K204" s="1" t="s">
        <v>71</v>
      </c>
      <c r="L204" s="4"/>
      <c r="M204" s="4"/>
    </row>
    <row r="205" spans="1:13" x14ac:dyDescent="0.25">
      <c r="A205" s="7">
        <v>191</v>
      </c>
      <c r="B205" s="33"/>
      <c r="C205" s="2"/>
      <c r="D205" s="13" t="s">
        <v>330</v>
      </c>
      <c r="E205" s="12">
        <f>Table1[[#This Row],[QUANTITY]]-Table1[[#This Row],[CONSUMPTION]]</f>
        <v>2</v>
      </c>
      <c r="F205" s="1">
        <v>2</v>
      </c>
      <c r="G205" s="1" t="s">
        <v>40</v>
      </c>
      <c r="H205" s="4"/>
      <c r="I205" s="32">
        <f t="shared" si="2"/>
        <v>0</v>
      </c>
      <c r="J205" s="4" t="s">
        <v>13</v>
      </c>
      <c r="K205" s="1" t="s">
        <v>71</v>
      </c>
      <c r="L205" s="4"/>
      <c r="M205" s="4"/>
    </row>
    <row r="206" spans="1:13" x14ac:dyDescent="0.25">
      <c r="A206" s="7">
        <v>192</v>
      </c>
      <c r="B206" s="33"/>
      <c r="C206" s="2">
        <v>101381425000</v>
      </c>
      <c r="D206" s="13" t="s">
        <v>331</v>
      </c>
      <c r="E206" s="12">
        <f>Table1[[#This Row],[QUANTITY]]-Table1[[#This Row],[CONSUMPTION]]</f>
        <v>2</v>
      </c>
      <c r="F206" s="1">
        <v>2</v>
      </c>
      <c r="G206" s="1" t="s">
        <v>40</v>
      </c>
      <c r="H206" s="4"/>
      <c r="I206" s="32">
        <f t="shared" si="2"/>
        <v>0</v>
      </c>
      <c r="J206" s="4" t="s">
        <v>13</v>
      </c>
      <c r="K206" s="1" t="s">
        <v>71</v>
      </c>
      <c r="L206" s="4"/>
      <c r="M206" s="4"/>
    </row>
    <row r="207" spans="1:13" x14ac:dyDescent="0.25">
      <c r="A207" s="7">
        <v>193</v>
      </c>
      <c r="B207" s="33"/>
      <c r="C207" s="2">
        <v>105398086</v>
      </c>
      <c r="D207" s="1"/>
      <c r="E207" s="12">
        <f>Table1[[#This Row],[QUANTITY]]-Table1[[#This Row],[CONSUMPTION]]</f>
        <v>3</v>
      </c>
      <c r="F207" s="1">
        <v>3</v>
      </c>
      <c r="G207" s="1" t="s">
        <v>40</v>
      </c>
      <c r="H207" s="4"/>
      <c r="I207" s="32">
        <f t="shared" ref="I207:I270" si="3">H207*E207</f>
        <v>0</v>
      </c>
      <c r="J207" s="4" t="s">
        <v>8</v>
      </c>
      <c r="K207" s="1" t="s">
        <v>332</v>
      </c>
      <c r="L207" s="4"/>
      <c r="M207" s="4"/>
    </row>
    <row r="208" spans="1:13" x14ac:dyDescent="0.25">
      <c r="A208" s="7">
        <v>194</v>
      </c>
      <c r="B208" s="33"/>
      <c r="C208" s="2" t="s">
        <v>333</v>
      </c>
      <c r="D208" s="1"/>
      <c r="E208" s="12">
        <f>Table1[[#This Row],[QUANTITY]]-Table1[[#This Row],[CONSUMPTION]]</f>
        <v>1</v>
      </c>
      <c r="F208" s="1">
        <v>1</v>
      </c>
      <c r="G208" s="1" t="s">
        <v>40</v>
      </c>
      <c r="H208" s="4"/>
      <c r="I208" s="32">
        <f t="shared" si="3"/>
        <v>0</v>
      </c>
      <c r="J208" s="4" t="s">
        <v>8</v>
      </c>
      <c r="K208" s="1" t="s">
        <v>332</v>
      </c>
      <c r="L208" s="4"/>
      <c r="M208" s="4"/>
    </row>
    <row r="209" spans="1:13" x14ac:dyDescent="0.25">
      <c r="A209" s="7">
        <v>195</v>
      </c>
      <c r="B209" s="33"/>
      <c r="C209" s="2">
        <v>706301210</v>
      </c>
      <c r="D209" s="1"/>
      <c r="E209" s="12">
        <f>Table1[[#This Row],[QUANTITY]]-Table1[[#This Row],[CONSUMPTION]]</f>
        <v>1</v>
      </c>
      <c r="F209" s="1">
        <v>1</v>
      </c>
      <c r="G209" s="1" t="s">
        <v>40</v>
      </c>
      <c r="H209" s="4"/>
      <c r="I209" s="32">
        <f t="shared" si="3"/>
        <v>0</v>
      </c>
      <c r="J209" s="4" t="s">
        <v>8</v>
      </c>
      <c r="K209" s="1" t="s">
        <v>332</v>
      </c>
      <c r="L209" s="4"/>
      <c r="M209" s="4"/>
    </row>
    <row r="210" spans="1:13" x14ac:dyDescent="0.25">
      <c r="A210" s="7">
        <v>196</v>
      </c>
      <c r="B210" s="33" t="s">
        <v>334</v>
      </c>
      <c r="C210" s="2" t="s">
        <v>335</v>
      </c>
      <c r="D210" s="1" t="s">
        <v>261</v>
      </c>
      <c r="E210" s="12">
        <f>Table1[[#This Row],[QUANTITY]]-Table1[[#This Row],[CONSUMPTION]]</f>
        <v>2</v>
      </c>
      <c r="F210" s="1">
        <v>3</v>
      </c>
      <c r="G210" s="1" t="s">
        <v>40</v>
      </c>
      <c r="H210" s="28">
        <v>2139</v>
      </c>
      <c r="I210" s="32">
        <f t="shared" si="3"/>
        <v>4278</v>
      </c>
      <c r="J210" s="4" t="s">
        <v>8</v>
      </c>
      <c r="K210" s="1" t="s">
        <v>332</v>
      </c>
      <c r="L210" s="4">
        <v>1</v>
      </c>
      <c r="M210" s="4" t="s">
        <v>336</v>
      </c>
    </row>
    <row r="211" spans="1:13" x14ac:dyDescent="0.25">
      <c r="A211" s="7">
        <v>197</v>
      </c>
      <c r="B211" s="33">
        <v>401615130036</v>
      </c>
      <c r="C211" s="2" t="s">
        <v>337</v>
      </c>
      <c r="D211" s="1" t="s">
        <v>192</v>
      </c>
      <c r="E211" s="12">
        <f>Table1[[#This Row],[QUANTITY]]-Table1[[#This Row],[CONSUMPTION]]</f>
        <v>1</v>
      </c>
      <c r="F211" s="1">
        <v>2</v>
      </c>
      <c r="G211" s="1" t="s">
        <v>40</v>
      </c>
      <c r="H211" s="4"/>
      <c r="I211" s="32">
        <f t="shared" si="3"/>
        <v>0</v>
      </c>
      <c r="J211" s="4" t="s">
        <v>8</v>
      </c>
      <c r="K211" s="1" t="s">
        <v>332</v>
      </c>
      <c r="L211" s="4">
        <v>1</v>
      </c>
      <c r="M211" s="4" t="s">
        <v>336</v>
      </c>
    </row>
    <row r="212" spans="1:13" x14ac:dyDescent="0.25">
      <c r="A212" s="7">
        <v>198</v>
      </c>
      <c r="B212" s="33" t="s">
        <v>338</v>
      </c>
      <c r="C212" s="2" t="s">
        <v>339</v>
      </c>
      <c r="D212" s="1" t="s">
        <v>340</v>
      </c>
      <c r="E212" s="12">
        <f>Table1[[#This Row],[QUANTITY]]-Table1[[#This Row],[CONSUMPTION]]</f>
        <v>0</v>
      </c>
      <c r="F212" s="1">
        <v>1</v>
      </c>
      <c r="G212" s="1" t="s">
        <v>40</v>
      </c>
      <c r="H212" s="28">
        <v>9174</v>
      </c>
      <c r="I212" s="32">
        <f t="shared" si="3"/>
        <v>0</v>
      </c>
      <c r="J212" s="4" t="s">
        <v>8</v>
      </c>
      <c r="K212" s="1" t="s">
        <v>332</v>
      </c>
      <c r="L212" s="4">
        <v>1</v>
      </c>
      <c r="M212" s="4" t="s">
        <v>336</v>
      </c>
    </row>
    <row r="213" spans="1:13" x14ac:dyDescent="0.25">
      <c r="A213" s="7">
        <v>199</v>
      </c>
      <c r="B213" s="34"/>
      <c r="C213" s="11" t="s">
        <v>341</v>
      </c>
      <c r="D213" s="12" t="s">
        <v>342</v>
      </c>
      <c r="E213" s="12">
        <f>Table1[[#This Row],[QUANTITY]]-Table1[[#This Row],[CONSUMPTION]]</f>
        <v>1</v>
      </c>
      <c r="F213" s="12">
        <v>2</v>
      </c>
      <c r="G213" s="1" t="s">
        <v>40</v>
      </c>
      <c r="H213" s="10"/>
      <c r="I213" s="32">
        <f t="shared" si="3"/>
        <v>0</v>
      </c>
      <c r="J213" s="4" t="s">
        <v>8</v>
      </c>
      <c r="K213" s="12" t="s">
        <v>343</v>
      </c>
      <c r="L213" s="10">
        <v>1</v>
      </c>
      <c r="M213" s="10" t="s">
        <v>344</v>
      </c>
    </row>
    <row r="214" spans="1:13" x14ac:dyDescent="0.25">
      <c r="A214" s="7">
        <v>200</v>
      </c>
      <c r="B214" s="33"/>
      <c r="C214" s="2">
        <v>3363083371</v>
      </c>
      <c r="D214" s="1" t="s">
        <v>148</v>
      </c>
      <c r="E214" s="1">
        <f>Table1[[#This Row],[QUANTITY]]-Table1[[#This Row],[CONSUMPTION]]</f>
        <v>1</v>
      </c>
      <c r="F214" s="1">
        <v>1</v>
      </c>
      <c r="G214" s="1" t="s">
        <v>115</v>
      </c>
      <c r="H214" s="4"/>
      <c r="I214" s="31">
        <f t="shared" si="3"/>
        <v>0</v>
      </c>
      <c r="J214" s="4" t="s">
        <v>8</v>
      </c>
      <c r="K214" s="1" t="s">
        <v>332</v>
      </c>
      <c r="L214" s="4"/>
      <c r="M214" s="4"/>
    </row>
    <row r="215" spans="1:13" x14ac:dyDescent="0.25">
      <c r="A215" s="7">
        <v>201</v>
      </c>
      <c r="B215" s="33"/>
      <c r="C215" s="2" t="s">
        <v>345</v>
      </c>
      <c r="D215" s="1" t="s">
        <v>346</v>
      </c>
      <c r="E215" s="1">
        <f>Table1[[#This Row],[QUANTITY]]-Table1[[#This Row],[CONSUMPTION]]</f>
        <v>1</v>
      </c>
      <c r="F215" s="1">
        <v>1</v>
      </c>
      <c r="G215" s="1" t="s">
        <v>115</v>
      </c>
      <c r="H215" s="4"/>
      <c r="I215" s="31">
        <f t="shared" si="3"/>
        <v>0</v>
      </c>
      <c r="J215" s="4" t="s">
        <v>8</v>
      </c>
      <c r="K215" s="1" t="s">
        <v>332</v>
      </c>
      <c r="L215" s="4"/>
      <c r="M215" s="4"/>
    </row>
    <row r="216" spans="1:13" x14ac:dyDescent="0.25">
      <c r="A216" s="7">
        <v>202</v>
      </c>
      <c r="B216" s="33" t="s">
        <v>347</v>
      </c>
      <c r="C216" s="2" t="s">
        <v>348</v>
      </c>
      <c r="D216" s="1" t="s">
        <v>349</v>
      </c>
      <c r="E216" s="1">
        <f>Table1[[#This Row],[QUANTITY]]-Table1[[#This Row],[CONSUMPTION]]</f>
        <v>3</v>
      </c>
      <c r="F216" s="1">
        <v>3</v>
      </c>
      <c r="G216" s="1" t="s">
        <v>40</v>
      </c>
      <c r="H216" s="4">
        <v>240</v>
      </c>
      <c r="I216" s="31">
        <f t="shared" si="3"/>
        <v>720</v>
      </c>
      <c r="J216" s="4" t="s">
        <v>8</v>
      </c>
      <c r="K216" s="1" t="s">
        <v>332</v>
      </c>
      <c r="L216" s="4"/>
      <c r="M216" s="4"/>
    </row>
    <row r="217" spans="1:13" x14ac:dyDescent="0.25">
      <c r="A217" s="7">
        <v>203</v>
      </c>
      <c r="B217" s="33">
        <v>201017119826</v>
      </c>
      <c r="C217" s="2">
        <v>3360314375</v>
      </c>
      <c r="D217" s="1" t="s">
        <v>248</v>
      </c>
      <c r="E217" s="1">
        <f>Table1[[#This Row],[QUANTITY]]-Table1[[#This Row],[CONSUMPTION]]</f>
        <v>1</v>
      </c>
      <c r="F217" s="1">
        <v>1</v>
      </c>
      <c r="G217" s="1" t="s">
        <v>115</v>
      </c>
      <c r="H217" s="4"/>
      <c r="I217" s="31">
        <f t="shared" si="3"/>
        <v>0</v>
      </c>
      <c r="J217" s="4" t="s">
        <v>8</v>
      </c>
      <c r="K217" s="1" t="s">
        <v>332</v>
      </c>
      <c r="L217" s="4"/>
      <c r="M217" s="4"/>
    </row>
    <row r="218" spans="1:13" x14ac:dyDescent="0.25">
      <c r="A218" s="7">
        <v>204</v>
      </c>
      <c r="B218" s="33" t="s">
        <v>350</v>
      </c>
      <c r="C218" s="2" t="s">
        <v>351</v>
      </c>
      <c r="D218" s="1" t="s">
        <v>352</v>
      </c>
      <c r="E218" s="1">
        <f>Table1[[#This Row],[QUANTITY]]-Table1[[#This Row],[CONSUMPTION]]</f>
        <v>3</v>
      </c>
      <c r="F218" s="1">
        <v>3</v>
      </c>
      <c r="G218" s="1" t="s">
        <v>115</v>
      </c>
      <c r="H218" s="4"/>
      <c r="I218" s="31">
        <f t="shared" si="3"/>
        <v>0</v>
      </c>
      <c r="J218" s="4" t="s">
        <v>8</v>
      </c>
      <c r="K218" s="1" t="s">
        <v>332</v>
      </c>
      <c r="L218" s="4"/>
      <c r="M218" s="4"/>
    </row>
    <row r="219" spans="1:13" x14ac:dyDescent="0.25">
      <c r="A219" s="7">
        <v>205</v>
      </c>
      <c r="B219" s="33"/>
      <c r="C219" s="2" t="s">
        <v>353</v>
      </c>
      <c r="D219" s="1" t="s">
        <v>354</v>
      </c>
      <c r="E219" s="1">
        <f>Table1[[#This Row],[QUANTITY]]-Table1[[#This Row],[CONSUMPTION]]</f>
        <v>1</v>
      </c>
      <c r="F219" s="1">
        <v>1</v>
      </c>
      <c r="G219" s="1" t="s">
        <v>40</v>
      </c>
      <c r="H219" s="4"/>
      <c r="I219" s="31">
        <f t="shared" si="3"/>
        <v>0</v>
      </c>
      <c r="J219" s="4" t="s">
        <v>8</v>
      </c>
      <c r="K219" s="1" t="s">
        <v>332</v>
      </c>
      <c r="L219" s="4"/>
      <c r="M219" s="4"/>
    </row>
    <row r="220" spans="1:13" x14ac:dyDescent="0.25">
      <c r="A220" s="7">
        <v>206</v>
      </c>
      <c r="B220" s="33" t="s">
        <v>355</v>
      </c>
      <c r="C220" s="2" t="s">
        <v>356</v>
      </c>
      <c r="D220" s="13" t="s">
        <v>357</v>
      </c>
      <c r="E220" s="1">
        <f>Table1[[#This Row],[QUANTITY]]-Table1[[#This Row],[CONSUMPTION]]</f>
        <v>1</v>
      </c>
      <c r="F220" s="1">
        <v>1</v>
      </c>
      <c r="G220" s="1" t="s">
        <v>40</v>
      </c>
      <c r="H220" s="4">
        <v>178</v>
      </c>
      <c r="I220" s="31">
        <f t="shared" si="3"/>
        <v>178</v>
      </c>
      <c r="J220" s="4" t="s">
        <v>8</v>
      </c>
      <c r="K220" s="1" t="s">
        <v>332</v>
      </c>
      <c r="L220" s="4"/>
      <c r="M220" s="4"/>
    </row>
    <row r="221" spans="1:13" x14ac:dyDescent="0.25">
      <c r="A221" s="7">
        <v>207</v>
      </c>
      <c r="B221" s="33" t="s">
        <v>358</v>
      </c>
      <c r="C221" s="2">
        <v>253415406302</v>
      </c>
      <c r="D221" s="13" t="s">
        <v>359</v>
      </c>
      <c r="E221" s="1">
        <f>Table1[[#This Row],[QUANTITY]]-Table1[[#This Row],[CONSUMPTION]]</f>
        <v>1</v>
      </c>
      <c r="F221" s="1">
        <v>1</v>
      </c>
      <c r="G221" s="1" t="s">
        <v>40</v>
      </c>
      <c r="H221" s="4">
        <v>470.56</v>
      </c>
      <c r="I221" s="31">
        <f t="shared" si="3"/>
        <v>470.56</v>
      </c>
      <c r="J221" s="8" t="s">
        <v>15</v>
      </c>
      <c r="K221" s="1" t="s">
        <v>343</v>
      </c>
      <c r="L221" s="4"/>
      <c r="M221" s="4"/>
    </row>
    <row r="222" spans="1:13" x14ac:dyDescent="0.25">
      <c r="A222" s="7">
        <v>208</v>
      </c>
      <c r="B222" s="33" t="s">
        <v>360</v>
      </c>
      <c r="C222" s="2">
        <v>570920156305</v>
      </c>
      <c r="D222" s="13" t="s">
        <v>361</v>
      </c>
      <c r="E222" s="1">
        <f>Table1[[#This Row],[QUANTITY]]-Table1[[#This Row],[CONSUMPTION]]</f>
        <v>3</v>
      </c>
      <c r="F222" s="1">
        <v>3</v>
      </c>
      <c r="G222" s="1" t="s">
        <v>40</v>
      </c>
      <c r="H222" s="4"/>
      <c r="I222" s="31">
        <f t="shared" si="3"/>
        <v>0</v>
      </c>
      <c r="J222" s="8" t="s">
        <v>15</v>
      </c>
      <c r="K222" s="1" t="s">
        <v>343</v>
      </c>
      <c r="L222" s="4"/>
      <c r="M222" s="4"/>
    </row>
    <row r="223" spans="1:13" x14ac:dyDescent="0.25">
      <c r="A223" s="7">
        <v>209</v>
      </c>
      <c r="B223" s="33">
        <v>261017003477</v>
      </c>
      <c r="C223" s="2">
        <v>412222584</v>
      </c>
      <c r="D223" s="13" t="s">
        <v>15</v>
      </c>
      <c r="E223" s="1">
        <f>Table1[[#This Row],[QUANTITY]]-Table1[[#This Row],[CONSUMPTION]]</f>
        <v>3</v>
      </c>
      <c r="F223" s="1">
        <v>3</v>
      </c>
      <c r="G223" s="1" t="s">
        <v>40</v>
      </c>
      <c r="H223" s="4"/>
      <c r="I223" s="31">
        <f t="shared" si="3"/>
        <v>0</v>
      </c>
      <c r="J223" s="8" t="s">
        <v>15</v>
      </c>
      <c r="K223" s="1" t="s">
        <v>343</v>
      </c>
      <c r="L223" s="4"/>
      <c r="M223" s="4"/>
    </row>
    <row r="224" spans="1:13" x14ac:dyDescent="0.25">
      <c r="A224" s="7">
        <v>210</v>
      </c>
      <c r="B224" s="2" t="s">
        <v>362</v>
      </c>
      <c r="C224" s="2" t="s">
        <v>362</v>
      </c>
      <c r="D224" s="13" t="s">
        <v>363</v>
      </c>
      <c r="E224" s="1">
        <f>Table1[[#This Row],[QUANTITY]]-Table1[[#This Row],[CONSUMPTION]]</f>
        <v>3</v>
      </c>
      <c r="F224" s="1">
        <v>3</v>
      </c>
      <c r="G224" s="1" t="s">
        <v>40</v>
      </c>
      <c r="H224" s="4">
        <v>145.44999999999999</v>
      </c>
      <c r="I224" s="31">
        <f t="shared" si="3"/>
        <v>436.34999999999997</v>
      </c>
      <c r="J224" s="8" t="s">
        <v>15</v>
      </c>
      <c r="K224" s="1" t="s">
        <v>343</v>
      </c>
      <c r="L224" s="4"/>
      <c r="M224" s="4"/>
    </row>
    <row r="225" spans="1:13" x14ac:dyDescent="0.25">
      <c r="A225" s="7">
        <v>211</v>
      </c>
      <c r="B225" s="33" t="s">
        <v>364</v>
      </c>
      <c r="C225" s="2">
        <v>412222289</v>
      </c>
      <c r="D225" s="13" t="s">
        <v>15</v>
      </c>
      <c r="E225" s="1">
        <f>Table1[[#This Row],[QUANTITY]]-Table1[[#This Row],[CONSUMPTION]]</f>
        <v>2</v>
      </c>
      <c r="F225" s="1">
        <v>2</v>
      </c>
      <c r="G225" s="1" t="s">
        <v>365</v>
      </c>
      <c r="H225" s="28">
        <v>10748</v>
      </c>
      <c r="I225" s="31">
        <f t="shared" si="3"/>
        <v>21496</v>
      </c>
      <c r="J225" s="8" t="s">
        <v>8</v>
      </c>
      <c r="K225" s="1" t="s">
        <v>343</v>
      </c>
      <c r="L225" s="4"/>
      <c r="M225" s="4"/>
    </row>
    <row r="226" spans="1:13" x14ac:dyDescent="0.25">
      <c r="A226" s="7">
        <v>212</v>
      </c>
      <c r="B226" s="33"/>
      <c r="C226" s="2">
        <v>10042023820</v>
      </c>
      <c r="D226" s="13" t="s">
        <v>15</v>
      </c>
      <c r="E226" s="1">
        <f>Table1[[#This Row],[QUANTITY]]-Table1[[#This Row],[CONSUMPTION]]</f>
        <v>1</v>
      </c>
      <c r="F226" s="1">
        <v>1</v>
      </c>
      <c r="G226" s="1" t="s">
        <v>40</v>
      </c>
      <c r="H226" s="4"/>
      <c r="I226" s="31">
        <f t="shared" si="3"/>
        <v>0</v>
      </c>
      <c r="J226" s="8" t="s">
        <v>15</v>
      </c>
      <c r="K226" s="1" t="s">
        <v>343</v>
      </c>
      <c r="L226" s="4"/>
      <c r="M226" s="4"/>
    </row>
    <row r="227" spans="1:13" x14ac:dyDescent="0.25">
      <c r="A227" s="7">
        <v>213</v>
      </c>
      <c r="B227" s="34"/>
      <c r="C227" s="11" t="s">
        <v>366</v>
      </c>
      <c r="D227" s="13" t="s">
        <v>15</v>
      </c>
      <c r="E227" s="12">
        <f>Table1[[#This Row],[QUANTITY]]-Table1[[#This Row],[CONSUMPTION]]</f>
        <v>2</v>
      </c>
      <c r="F227" s="1">
        <v>2</v>
      </c>
      <c r="G227" s="12" t="s">
        <v>40</v>
      </c>
      <c r="H227" s="10"/>
      <c r="I227" s="32">
        <f t="shared" si="3"/>
        <v>0</v>
      </c>
      <c r="J227" s="8" t="s">
        <v>15</v>
      </c>
      <c r="K227" s="1" t="s">
        <v>343</v>
      </c>
      <c r="L227" s="10"/>
      <c r="M227" s="10"/>
    </row>
    <row r="228" spans="1:13" x14ac:dyDescent="0.25">
      <c r="A228" s="7">
        <v>214</v>
      </c>
      <c r="B228" s="33" t="s">
        <v>367</v>
      </c>
      <c r="C228" s="2" t="s">
        <v>368</v>
      </c>
      <c r="D228" s="13" t="s">
        <v>15</v>
      </c>
      <c r="E228" s="12">
        <f>Table1[[#This Row],[QUANTITY]]-Table1[[#This Row],[CONSUMPTION]]</f>
        <v>1</v>
      </c>
      <c r="F228" s="1">
        <v>1</v>
      </c>
      <c r="G228" s="1" t="s">
        <v>40</v>
      </c>
      <c r="H228" s="4"/>
      <c r="I228" s="32">
        <f t="shared" si="3"/>
        <v>0</v>
      </c>
      <c r="J228" s="8" t="s">
        <v>15</v>
      </c>
      <c r="K228" s="1" t="s">
        <v>343</v>
      </c>
      <c r="L228" s="4"/>
      <c r="M228" s="4"/>
    </row>
    <row r="229" spans="1:13" x14ac:dyDescent="0.25">
      <c r="A229" s="7">
        <v>215</v>
      </c>
      <c r="B229" s="33"/>
      <c r="C229" s="2" t="s">
        <v>369</v>
      </c>
      <c r="D229" s="13" t="s">
        <v>370</v>
      </c>
      <c r="E229" s="12">
        <f>Table1[[#This Row],[QUANTITY]]-Table1[[#This Row],[CONSUMPTION]]</f>
        <v>30</v>
      </c>
      <c r="F229" s="1">
        <v>35</v>
      </c>
      <c r="G229" s="1" t="s">
        <v>40</v>
      </c>
      <c r="H229" s="4"/>
      <c r="I229" s="32">
        <f t="shared" si="3"/>
        <v>0</v>
      </c>
      <c r="J229" s="4" t="s">
        <v>12</v>
      </c>
      <c r="K229" s="1" t="s">
        <v>371</v>
      </c>
      <c r="L229" s="4">
        <v>5</v>
      </c>
      <c r="M229" s="4"/>
    </row>
    <row r="230" spans="1:13" x14ac:dyDescent="0.25">
      <c r="A230" s="7">
        <v>216</v>
      </c>
      <c r="B230" s="33"/>
      <c r="C230" s="2" t="s">
        <v>372</v>
      </c>
      <c r="D230" s="13" t="s">
        <v>373</v>
      </c>
      <c r="E230" s="12">
        <f>Table1[[#This Row],[QUANTITY]]-Table1[[#This Row],[CONSUMPTION]]</f>
        <v>25</v>
      </c>
      <c r="F230" s="1">
        <v>35</v>
      </c>
      <c r="G230" s="1" t="s">
        <v>40</v>
      </c>
      <c r="H230" s="4"/>
      <c r="I230" s="32">
        <f t="shared" si="3"/>
        <v>0</v>
      </c>
      <c r="J230" s="4" t="s">
        <v>12</v>
      </c>
      <c r="K230" s="1" t="s">
        <v>371</v>
      </c>
      <c r="L230" s="4">
        <v>10</v>
      </c>
      <c r="M230" s="4"/>
    </row>
    <row r="231" spans="1:13" x14ac:dyDescent="0.25">
      <c r="A231" s="7">
        <v>217</v>
      </c>
      <c r="B231" s="33"/>
      <c r="C231" s="2">
        <v>7018</v>
      </c>
      <c r="D231" s="13" t="s">
        <v>374</v>
      </c>
      <c r="E231" s="12">
        <f>Table1[[#This Row],[QUANTITY]]-Table1[[#This Row],[CONSUMPTION]]</f>
        <v>14</v>
      </c>
      <c r="F231" s="1">
        <v>25</v>
      </c>
      <c r="G231" s="1" t="s">
        <v>40</v>
      </c>
      <c r="H231" s="4"/>
      <c r="I231" s="32">
        <f t="shared" si="3"/>
        <v>0</v>
      </c>
      <c r="J231" s="4" t="s">
        <v>12</v>
      </c>
      <c r="K231" s="1" t="s">
        <v>371</v>
      </c>
      <c r="L231" s="4">
        <f>6+5</f>
        <v>11</v>
      </c>
      <c r="M231" s="4"/>
    </row>
    <row r="232" spans="1:13" x14ac:dyDescent="0.25">
      <c r="A232" s="7">
        <v>218</v>
      </c>
      <c r="B232" s="33"/>
      <c r="C232" s="2">
        <v>7018</v>
      </c>
      <c r="D232" s="13" t="s">
        <v>375</v>
      </c>
      <c r="E232" s="12">
        <f>Table1[[#This Row],[QUANTITY]]-Table1[[#This Row],[CONSUMPTION]]</f>
        <v>40</v>
      </c>
      <c r="F232" s="1">
        <v>40</v>
      </c>
      <c r="G232" s="1" t="s">
        <v>40</v>
      </c>
      <c r="H232" s="4"/>
      <c r="I232" s="32">
        <f t="shared" si="3"/>
        <v>0</v>
      </c>
      <c r="J232" s="4" t="s">
        <v>12</v>
      </c>
      <c r="K232" s="1" t="s">
        <v>371</v>
      </c>
      <c r="L232" s="4"/>
      <c r="M232" s="4"/>
    </row>
    <row r="233" spans="1:13" x14ac:dyDescent="0.25">
      <c r="A233" s="7">
        <v>219</v>
      </c>
      <c r="B233" s="33"/>
      <c r="C233" s="2"/>
      <c r="D233" s="13" t="s">
        <v>376</v>
      </c>
      <c r="E233" s="12">
        <f>Table1[[#This Row],[QUANTITY]]-Table1[[#This Row],[CONSUMPTION]]</f>
        <v>65</v>
      </c>
      <c r="F233" s="1">
        <v>90</v>
      </c>
      <c r="G233" s="1" t="s">
        <v>40</v>
      </c>
      <c r="H233" s="4"/>
      <c r="I233" s="32">
        <f t="shared" si="3"/>
        <v>0</v>
      </c>
      <c r="J233" s="4" t="s">
        <v>12</v>
      </c>
      <c r="K233" s="1" t="s">
        <v>377</v>
      </c>
      <c r="L233" s="4">
        <v>25</v>
      </c>
      <c r="M233" s="4"/>
    </row>
    <row r="234" spans="1:13" x14ac:dyDescent="0.25">
      <c r="A234" s="7">
        <v>220</v>
      </c>
      <c r="B234" s="33"/>
      <c r="C234" s="2">
        <v>2608621839</v>
      </c>
      <c r="D234" s="13" t="s">
        <v>378</v>
      </c>
      <c r="E234" s="12">
        <f>Table1[[#This Row],[QUANTITY]]-Table1[[#This Row],[CONSUMPTION]]</f>
        <v>72</v>
      </c>
      <c r="F234" s="1">
        <v>73</v>
      </c>
      <c r="G234" s="1" t="s">
        <v>40</v>
      </c>
      <c r="H234" s="4"/>
      <c r="I234" s="32">
        <f t="shared" si="3"/>
        <v>0</v>
      </c>
      <c r="J234" s="4" t="s">
        <v>12</v>
      </c>
      <c r="K234" s="1" t="s">
        <v>377</v>
      </c>
      <c r="L234" s="4">
        <v>1</v>
      </c>
      <c r="M234" s="4"/>
    </row>
    <row r="235" spans="1:13" x14ac:dyDescent="0.25">
      <c r="A235" s="7">
        <v>221</v>
      </c>
      <c r="B235" s="34"/>
      <c r="C235" s="11">
        <v>7025003232</v>
      </c>
      <c r="D235" s="14" t="s">
        <v>379</v>
      </c>
      <c r="E235" s="12">
        <f>Table1[[#This Row],[QUANTITY]]-Table1[[#This Row],[CONSUMPTION]]</f>
        <v>240</v>
      </c>
      <c r="F235" s="12">
        <v>250</v>
      </c>
      <c r="G235" s="12" t="s">
        <v>40</v>
      </c>
      <c r="H235" s="10"/>
      <c r="I235" s="32">
        <f t="shared" si="3"/>
        <v>0</v>
      </c>
      <c r="J235" s="4" t="s">
        <v>12</v>
      </c>
      <c r="K235" s="1" t="s">
        <v>377</v>
      </c>
      <c r="L235" s="10">
        <v>10</v>
      </c>
      <c r="M235" s="10"/>
    </row>
    <row r="236" spans="1:13" x14ac:dyDescent="0.25">
      <c r="A236" s="7">
        <v>222</v>
      </c>
      <c r="B236" s="33"/>
      <c r="C236" s="2" t="s">
        <v>380</v>
      </c>
      <c r="D236" s="13" t="s">
        <v>381</v>
      </c>
      <c r="E236" s="12">
        <f>Table1[[#This Row],[QUANTITY]]-Table1[[#This Row],[CONSUMPTION]]</f>
        <v>50</v>
      </c>
      <c r="F236" s="1">
        <v>50</v>
      </c>
      <c r="G236" s="1" t="s">
        <v>40</v>
      </c>
      <c r="H236" s="4"/>
      <c r="I236" s="32">
        <f t="shared" si="3"/>
        <v>0</v>
      </c>
      <c r="J236" s="4" t="s">
        <v>12</v>
      </c>
      <c r="K236" s="1" t="s">
        <v>377</v>
      </c>
      <c r="L236" s="4"/>
      <c r="M236" s="4"/>
    </row>
    <row r="237" spans="1:13" x14ac:dyDescent="0.25">
      <c r="A237" s="7">
        <v>223</v>
      </c>
      <c r="B237" s="33"/>
      <c r="C237" s="2">
        <v>7613023978824</v>
      </c>
      <c r="D237" s="13" t="s">
        <v>382</v>
      </c>
      <c r="E237" s="12">
        <f>Table1[[#This Row],[QUANTITY]]-Table1[[#This Row],[CONSUMPTION]]</f>
        <v>95</v>
      </c>
      <c r="F237" s="1">
        <v>100</v>
      </c>
      <c r="G237" s="1" t="s">
        <v>40</v>
      </c>
      <c r="H237" s="4"/>
      <c r="I237" s="32">
        <f t="shared" si="3"/>
        <v>0</v>
      </c>
      <c r="J237" s="4" t="s">
        <v>12</v>
      </c>
      <c r="K237" s="1" t="s">
        <v>377</v>
      </c>
      <c r="L237" s="4">
        <v>5</v>
      </c>
      <c r="M237" s="4"/>
    </row>
    <row r="238" spans="1:13" x14ac:dyDescent="0.25">
      <c r="A238" s="7">
        <v>224</v>
      </c>
      <c r="B238" s="33"/>
      <c r="C238" s="2">
        <v>7025001913</v>
      </c>
      <c r="D238" s="13" t="s">
        <v>383</v>
      </c>
      <c r="E238" s="12">
        <f>Table1[[#This Row],[QUANTITY]]-Table1[[#This Row],[CONSUMPTION]]</f>
        <v>81</v>
      </c>
      <c r="F238" s="1">
        <v>93</v>
      </c>
      <c r="G238" s="1" t="s">
        <v>40</v>
      </c>
      <c r="H238" s="4"/>
      <c r="I238" s="32">
        <f t="shared" si="3"/>
        <v>0</v>
      </c>
      <c r="J238" s="4" t="s">
        <v>12</v>
      </c>
      <c r="K238" s="1" t="s">
        <v>377</v>
      </c>
      <c r="L238" s="4">
        <v>12</v>
      </c>
      <c r="M238" s="4"/>
    </row>
    <row r="239" spans="1:13" x14ac:dyDescent="0.25">
      <c r="A239" s="7">
        <v>225</v>
      </c>
      <c r="B239" s="33"/>
      <c r="C239" s="2">
        <v>2608619377</v>
      </c>
      <c r="D239" s="13" t="s">
        <v>384</v>
      </c>
      <c r="E239" s="12">
        <f>Table1[[#This Row],[QUANTITY]]-Table1[[#This Row],[CONSUMPTION]]</f>
        <v>38</v>
      </c>
      <c r="F239" s="1">
        <v>41</v>
      </c>
      <c r="G239" s="1" t="s">
        <v>40</v>
      </c>
      <c r="H239" s="4"/>
      <c r="I239" s="32">
        <f t="shared" si="3"/>
        <v>0</v>
      </c>
      <c r="J239" s="4" t="s">
        <v>12</v>
      </c>
      <c r="K239" s="1" t="s">
        <v>73</v>
      </c>
      <c r="L239" s="4">
        <v>3</v>
      </c>
      <c r="M239" s="4"/>
    </row>
    <row r="240" spans="1:13" x14ac:dyDescent="0.25">
      <c r="A240" s="7">
        <v>226</v>
      </c>
      <c r="B240" s="33"/>
      <c r="C240" s="2">
        <v>512060010201</v>
      </c>
      <c r="D240" s="13" t="s">
        <v>385</v>
      </c>
      <c r="E240" s="12">
        <f>Table1[[#This Row],[QUANTITY]]-Table1[[#This Row],[CONSUMPTION]]</f>
        <v>3</v>
      </c>
      <c r="F240" s="1">
        <v>4</v>
      </c>
      <c r="G240" s="1" t="s">
        <v>40</v>
      </c>
      <c r="H240" s="4"/>
      <c r="I240" s="32">
        <f t="shared" si="3"/>
        <v>0</v>
      </c>
      <c r="J240" s="4" t="s">
        <v>12</v>
      </c>
      <c r="K240" s="1" t="s">
        <v>73</v>
      </c>
      <c r="L240" s="4">
        <v>1</v>
      </c>
      <c r="M240" s="4" t="s">
        <v>108</v>
      </c>
    </row>
    <row r="241" spans="1:13" x14ac:dyDescent="0.25">
      <c r="A241" s="7">
        <v>227</v>
      </c>
      <c r="B241" s="33"/>
      <c r="C241" s="2">
        <v>1300100376</v>
      </c>
      <c r="D241" s="13" t="s">
        <v>386</v>
      </c>
      <c r="E241" s="12">
        <f>Table1[[#This Row],[QUANTITY]]-Table1[[#This Row],[CONSUMPTION]]</f>
        <v>6</v>
      </c>
      <c r="F241" s="1">
        <v>6</v>
      </c>
      <c r="G241" s="1" t="s">
        <v>40</v>
      </c>
      <c r="H241" s="4"/>
      <c r="I241" s="32">
        <f t="shared" si="3"/>
        <v>0</v>
      </c>
      <c r="J241" s="4" t="s">
        <v>12</v>
      </c>
      <c r="K241" s="1" t="s">
        <v>73</v>
      </c>
      <c r="L241" s="4"/>
      <c r="M241" s="4"/>
    </row>
    <row r="242" spans="1:13" x14ac:dyDescent="0.25">
      <c r="A242" s="7">
        <v>228</v>
      </c>
      <c r="B242" s="33"/>
      <c r="C242" s="2">
        <v>463720</v>
      </c>
      <c r="D242" s="13" t="s">
        <v>386</v>
      </c>
      <c r="E242" s="12">
        <f>Table1[[#This Row],[QUANTITY]]-Table1[[#This Row],[CONSUMPTION]]</f>
        <v>12</v>
      </c>
      <c r="F242" s="1">
        <v>12</v>
      </c>
      <c r="G242" s="1" t="s">
        <v>40</v>
      </c>
      <c r="H242" s="4"/>
      <c r="I242" s="32">
        <f t="shared" si="3"/>
        <v>0</v>
      </c>
      <c r="J242" s="4" t="s">
        <v>12</v>
      </c>
      <c r="K242" s="1" t="s">
        <v>73</v>
      </c>
      <c r="L242" s="4"/>
      <c r="M242" s="4"/>
    </row>
    <row r="243" spans="1:13" x14ac:dyDescent="0.25">
      <c r="A243" s="7">
        <v>229</v>
      </c>
      <c r="B243" s="33"/>
      <c r="C243" s="2"/>
      <c r="D243" s="13" t="s">
        <v>387</v>
      </c>
      <c r="E243" s="12">
        <f>Table1[[#This Row],[QUANTITY]]-Table1[[#This Row],[CONSUMPTION]]</f>
        <v>2</v>
      </c>
      <c r="F243" s="1">
        <v>2</v>
      </c>
      <c r="G243" s="1" t="s">
        <v>40</v>
      </c>
      <c r="H243" s="4"/>
      <c r="I243" s="32">
        <f t="shared" si="3"/>
        <v>0</v>
      </c>
      <c r="J243" s="4" t="s">
        <v>12</v>
      </c>
      <c r="K243" s="1" t="s">
        <v>388</v>
      </c>
      <c r="L243" s="4"/>
      <c r="M243" s="4"/>
    </row>
    <row r="244" spans="1:13" x14ac:dyDescent="0.25">
      <c r="A244" s="7">
        <v>230</v>
      </c>
      <c r="B244" s="33"/>
      <c r="C244" s="2"/>
      <c r="D244" s="13" t="s">
        <v>389</v>
      </c>
      <c r="E244" s="12">
        <f>Table1[[#This Row],[QUANTITY]]-Table1[[#This Row],[CONSUMPTION]]</f>
        <v>1</v>
      </c>
      <c r="F244" s="1">
        <v>2</v>
      </c>
      <c r="G244" s="1" t="s">
        <v>40</v>
      </c>
      <c r="H244" s="4"/>
      <c r="I244" s="32">
        <f t="shared" si="3"/>
        <v>0</v>
      </c>
      <c r="J244" s="4" t="s">
        <v>12</v>
      </c>
      <c r="K244" s="1" t="s">
        <v>388</v>
      </c>
      <c r="L244" s="4">
        <v>1</v>
      </c>
      <c r="M244" s="4" t="s">
        <v>108</v>
      </c>
    </row>
    <row r="245" spans="1:13" x14ac:dyDescent="0.25">
      <c r="A245" s="7">
        <v>231</v>
      </c>
      <c r="B245" s="33"/>
      <c r="C245" s="2"/>
      <c r="D245" s="13" t="s">
        <v>390</v>
      </c>
      <c r="E245" s="12">
        <f>Table1[[#This Row],[QUANTITY]]-Table1[[#This Row],[CONSUMPTION]]</f>
        <v>1</v>
      </c>
      <c r="F245" s="1">
        <v>1</v>
      </c>
      <c r="G245" s="1" t="s">
        <v>40</v>
      </c>
      <c r="H245" s="4"/>
      <c r="I245" s="32">
        <f t="shared" si="3"/>
        <v>0</v>
      </c>
      <c r="J245" s="4" t="s">
        <v>12</v>
      </c>
      <c r="K245" s="1" t="s">
        <v>388</v>
      </c>
      <c r="L245" s="4"/>
      <c r="M245" s="4"/>
    </row>
    <row r="246" spans="1:13" x14ac:dyDescent="0.25">
      <c r="A246" s="7">
        <v>232</v>
      </c>
      <c r="B246" s="33"/>
      <c r="C246" s="2"/>
      <c r="D246" s="13" t="s">
        <v>391</v>
      </c>
      <c r="E246" s="12">
        <f>Table1[[#This Row],[QUANTITY]]-Table1[[#This Row],[CONSUMPTION]]</f>
        <v>2</v>
      </c>
      <c r="F246" s="1">
        <v>2</v>
      </c>
      <c r="G246" s="1" t="s">
        <v>40</v>
      </c>
      <c r="H246" s="4"/>
      <c r="I246" s="32">
        <f t="shared" si="3"/>
        <v>0</v>
      </c>
      <c r="J246" s="4" t="s">
        <v>12</v>
      </c>
      <c r="K246" s="1" t="s">
        <v>137</v>
      </c>
      <c r="L246" s="4"/>
      <c r="M246" s="4"/>
    </row>
    <row r="247" spans="1:13" x14ac:dyDescent="0.25">
      <c r="A247" s="7">
        <v>233</v>
      </c>
      <c r="B247" s="2" t="s">
        <v>392</v>
      </c>
      <c r="C247" s="2" t="s">
        <v>392</v>
      </c>
      <c r="D247" s="13" t="s">
        <v>393</v>
      </c>
      <c r="E247" s="12">
        <f>Table1[[#This Row],[QUANTITY]]-Table1[[#This Row],[CONSUMPTION]]</f>
        <v>3</v>
      </c>
      <c r="F247" s="1">
        <v>3</v>
      </c>
      <c r="G247" s="1" t="s">
        <v>40</v>
      </c>
      <c r="H247" s="28">
        <v>352861</v>
      </c>
      <c r="I247" s="32">
        <f t="shared" si="3"/>
        <v>1058583</v>
      </c>
      <c r="J247" s="4" t="s">
        <v>2</v>
      </c>
      <c r="K247" s="1" t="s">
        <v>394</v>
      </c>
      <c r="L247" s="4"/>
      <c r="M247" s="4"/>
    </row>
    <row r="248" spans="1:13" x14ac:dyDescent="0.25">
      <c r="A248" s="7">
        <v>234</v>
      </c>
      <c r="B248" s="33"/>
      <c r="C248" s="2"/>
      <c r="D248" s="13" t="s">
        <v>395</v>
      </c>
      <c r="E248" s="12">
        <f>Table1[[#This Row],[QUANTITY]]-Table1[[#This Row],[CONSUMPTION]]</f>
        <v>10</v>
      </c>
      <c r="F248" s="1">
        <v>10</v>
      </c>
      <c r="G248" s="1" t="s">
        <v>40</v>
      </c>
      <c r="H248" s="4"/>
      <c r="I248" s="32">
        <f t="shared" si="3"/>
        <v>0</v>
      </c>
      <c r="J248" s="4" t="s">
        <v>21</v>
      </c>
      <c r="K248" s="47" t="s">
        <v>396</v>
      </c>
      <c r="L248" s="4"/>
      <c r="M248" s="4"/>
    </row>
    <row r="249" spans="1:13" x14ac:dyDescent="0.25">
      <c r="A249" s="7">
        <v>235</v>
      </c>
      <c r="B249" s="33"/>
      <c r="C249" s="2"/>
      <c r="D249" s="13" t="s">
        <v>397</v>
      </c>
      <c r="E249" s="12">
        <f>Table1[[#This Row],[QUANTITY]]-Table1[[#This Row],[CONSUMPTION]]</f>
        <v>10</v>
      </c>
      <c r="F249" s="1">
        <v>10</v>
      </c>
      <c r="G249" s="1" t="s">
        <v>40</v>
      </c>
      <c r="H249" s="4"/>
      <c r="I249" s="32">
        <f t="shared" si="3"/>
        <v>0</v>
      </c>
      <c r="J249" s="4" t="s">
        <v>21</v>
      </c>
      <c r="K249" s="47" t="s">
        <v>396</v>
      </c>
      <c r="L249" s="4"/>
      <c r="M249" s="4"/>
    </row>
    <row r="250" spans="1:13" x14ac:dyDescent="0.25">
      <c r="A250" s="7">
        <v>236</v>
      </c>
      <c r="B250" s="33"/>
      <c r="C250" s="2"/>
      <c r="D250" s="13" t="s">
        <v>398</v>
      </c>
      <c r="E250" s="12">
        <f>Table1[[#This Row],[QUANTITY]]-Table1[[#This Row],[CONSUMPTION]]</f>
        <v>10</v>
      </c>
      <c r="F250" s="1">
        <v>10</v>
      </c>
      <c r="G250" s="1" t="s">
        <v>40</v>
      </c>
      <c r="H250" s="4"/>
      <c r="I250" s="32">
        <f t="shared" si="3"/>
        <v>0</v>
      </c>
      <c r="J250" s="4" t="s">
        <v>21</v>
      </c>
      <c r="K250" s="1" t="s">
        <v>396</v>
      </c>
      <c r="L250" s="4"/>
      <c r="M250" s="4"/>
    </row>
    <row r="251" spans="1:13" x14ac:dyDescent="0.25">
      <c r="A251" s="7">
        <v>237</v>
      </c>
      <c r="B251" s="33"/>
      <c r="C251" s="2"/>
      <c r="D251" s="13" t="s">
        <v>399</v>
      </c>
      <c r="E251" s="12">
        <f>Table1[[#This Row],[QUANTITY]]-Table1[[#This Row],[CONSUMPTION]]</f>
        <v>5</v>
      </c>
      <c r="F251" s="1">
        <v>5</v>
      </c>
      <c r="G251" s="1" t="s">
        <v>40</v>
      </c>
      <c r="H251" s="4"/>
      <c r="I251" s="32">
        <f t="shared" si="3"/>
        <v>0</v>
      </c>
      <c r="J251" s="4" t="s">
        <v>21</v>
      </c>
      <c r="K251" s="1" t="s">
        <v>396</v>
      </c>
      <c r="L251" s="4"/>
      <c r="M251" s="4"/>
    </row>
    <row r="252" spans="1:13" x14ac:dyDescent="0.25">
      <c r="A252" s="7">
        <v>238</v>
      </c>
      <c r="B252" s="33"/>
      <c r="C252" s="2"/>
      <c r="D252" s="13" t="s">
        <v>400</v>
      </c>
      <c r="E252" s="12">
        <f>Table1[[#This Row],[QUANTITY]]-Table1[[#This Row],[CONSUMPTION]]</f>
        <v>4</v>
      </c>
      <c r="F252" s="1">
        <v>4</v>
      </c>
      <c r="G252" s="1" t="s">
        <v>40</v>
      </c>
      <c r="H252" s="4"/>
      <c r="I252" s="32">
        <f t="shared" si="3"/>
        <v>0</v>
      </c>
      <c r="J252" s="4" t="s">
        <v>21</v>
      </c>
      <c r="K252" s="1" t="s">
        <v>396</v>
      </c>
      <c r="L252" s="4"/>
      <c r="M252" s="4"/>
    </row>
    <row r="253" spans="1:13" x14ac:dyDescent="0.25">
      <c r="A253" s="7">
        <v>239</v>
      </c>
      <c r="B253" s="34"/>
      <c r="C253" s="11"/>
      <c r="D253" s="14" t="s">
        <v>401</v>
      </c>
      <c r="E253" s="12">
        <f>Table1[[#This Row],[QUANTITY]]-Table1[[#This Row],[CONSUMPTION]]</f>
        <v>16</v>
      </c>
      <c r="F253" s="12">
        <v>16</v>
      </c>
      <c r="G253" s="12" t="s">
        <v>40</v>
      </c>
      <c r="H253" s="10"/>
      <c r="I253" s="32">
        <f t="shared" si="3"/>
        <v>0</v>
      </c>
      <c r="J253" s="4" t="s">
        <v>21</v>
      </c>
      <c r="K253" s="12" t="s">
        <v>396</v>
      </c>
      <c r="L253" s="10"/>
      <c r="M253" s="10"/>
    </row>
    <row r="254" spans="1:13" x14ac:dyDescent="0.25">
      <c r="A254" s="9">
        <v>240</v>
      </c>
      <c r="B254" s="34"/>
      <c r="C254" s="11"/>
      <c r="D254" s="14" t="s">
        <v>402</v>
      </c>
      <c r="E254" s="12">
        <f>Table1[[#This Row],[QUANTITY]]-Table1[[#This Row],[CONSUMPTION]]</f>
        <v>3</v>
      </c>
      <c r="F254" s="12">
        <v>3</v>
      </c>
      <c r="G254" s="12" t="s">
        <v>40</v>
      </c>
      <c r="H254" s="10"/>
      <c r="I254" s="32">
        <f t="shared" si="3"/>
        <v>0</v>
      </c>
      <c r="J254" s="10" t="s">
        <v>21</v>
      </c>
      <c r="K254" s="12" t="s">
        <v>396</v>
      </c>
      <c r="L254" s="10"/>
      <c r="M254" s="10"/>
    </row>
    <row r="255" spans="1:13" x14ac:dyDescent="0.25">
      <c r="A255" s="7">
        <v>241</v>
      </c>
      <c r="B255" s="34"/>
      <c r="C255" s="11"/>
      <c r="D255" s="14" t="s">
        <v>403</v>
      </c>
      <c r="E255" s="12">
        <f>Table1[[#This Row],[QUANTITY]]-Table1[[#This Row],[CONSUMPTION]]</f>
        <v>1</v>
      </c>
      <c r="F255" s="12">
        <v>1</v>
      </c>
      <c r="G255" s="12" t="s">
        <v>40</v>
      </c>
      <c r="H255" s="10"/>
      <c r="I255" s="32">
        <f t="shared" si="3"/>
        <v>0</v>
      </c>
      <c r="J255" s="10" t="s">
        <v>21</v>
      </c>
      <c r="K255" s="12" t="s">
        <v>396</v>
      </c>
      <c r="L255" s="10"/>
      <c r="M255" s="10"/>
    </row>
    <row r="256" spans="1:13" ht="15" customHeight="1" x14ac:dyDescent="0.25">
      <c r="A256" s="7">
        <v>242</v>
      </c>
      <c r="B256" s="34"/>
      <c r="C256" s="11"/>
      <c r="D256" s="14" t="s">
        <v>404</v>
      </c>
      <c r="E256" s="12">
        <f>Table1[[#This Row],[QUANTITY]]-Table1[[#This Row],[CONSUMPTION]]</f>
        <v>20</v>
      </c>
      <c r="F256" s="12">
        <v>20</v>
      </c>
      <c r="G256" s="12" t="s">
        <v>40</v>
      </c>
      <c r="H256" s="10"/>
      <c r="I256" s="32">
        <f t="shared" si="3"/>
        <v>0</v>
      </c>
      <c r="J256" s="10" t="s">
        <v>21</v>
      </c>
      <c r="K256" s="12" t="s">
        <v>396</v>
      </c>
      <c r="L256" s="10"/>
      <c r="M256" s="10"/>
    </row>
    <row r="257" spans="1:13" ht="15" customHeight="1" x14ac:dyDescent="0.25">
      <c r="A257" s="7">
        <v>243</v>
      </c>
      <c r="B257" s="34"/>
      <c r="C257" s="11"/>
      <c r="D257" s="14" t="s">
        <v>405</v>
      </c>
      <c r="E257" s="12">
        <f>Table1[[#This Row],[QUANTITY]]-Table1[[#This Row],[CONSUMPTION]]</f>
        <v>2</v>
      </c>
      <c r="F257" s="12">
        <v>2</v>
      </c>
      <c r="G257" s="12" t="s">
        <v>40</v>
      </c>
      <c r="H257" s="10"/>
      <c r="I257" s="32">
        <f t="shared" si="3"/>
        <v>0</v>
      </c>
      <c r="J257" s="10" t="s">
        <v>21</v>
      </c>
      <c r="K257" s="12" t="s">
        <v>396</v>
      </c>
      <c r="L257" s="10"/>
      <c r="M257" s="10"/>
    </row>
    <row r="258" spans="1:13" ht="15" customHeight="1" x14ac:dyDescent="0.25">
      <c r="A258" s="9">
        <v>244</v>
      </c>
      <c r="B258" s="34"/>
      <c r="C258" s="11"/>
      <c r="D258" s="14" t="s">
        <v>406</v>
      </c>
      <c r="E258" s="12">
        <f>Table1[[#This Row],[QUANTITY]]-Table1[[#This Row],[CONSUMPTION]]</f>
        <v>2</v>
      </c>
      <c r="F258" s="12">
        <v>2</v>
      </c>
      <c r="G258" s="12" t="s">
        <v>40</v>
      </c>
      <c r="H258" s="10"/>
      <c r="I258" s="32">
        <f t="shared" si="3"/>
        <v>0</v>
      </c>
      <c r="J258" s="10" t="s">
        <v>21</v>
      </c>
      <c r="K258" s="12" t="s">
        <v>396</v>
      </c>
      <c r="L258" s="10"/>
      <c r="M258" s="10"/>
    </row>
    <row r="259" spans="1:13" ht="15" customHeight="1" x14ac:dyDescent="0.25">
      <c r="A259" s="7">
        <v>245</v>
      </c>
      <c r="B259" s="34"/>
      <c r="C259" s="11"/>
      <c r="D259" s="14" t="s">
        <v>407</v>
      </c>
      <c r="E259" s="12">
        <f>Table1[[#This Row],[QUANTITY]]-Table1[[#This Row],[CONSUMPTION]]</f>
        <v>1</v>
      </c>
      <c r="F259" s="12">
        <v>1</v>
      </c>
      <c r="G259" s="12" t="s">
        <v>40</v>
      </c>
      <c r="H259" s="10"/>
      <c r="I259" s="32">
        <f t="shared" si="3"/>
        <v>0</v>
      </c>
      <c r="J259" s="10" t="s">
        <v>21</v>
      </c>
      <c r="K259" s="12" t="s">
        <v>396</v>
      </c>
      <c r="L259" s="10"/>
      <c r="M259" s="10"/>
    </row>
    <row r="260" spans="1:13" ht="15" customHeight="1" x14ac:dyDescent="0.25">
      <c r="A260" s="7">
        <v>246</v>
      </c>
      <c r="B260" s="34"/>
      <c r="C260" s="11"/>
      <c r="D260" s="14" t="s">
        <v>408</v>
      </c>
      <c r="E260" s="12">
        <f>Table1[[#This Row],[QUANTITY]]-Table1[[#This Row],[CONSUMPTION]]</f>
        <v>3</v>
      </c>
      <c r="F260" s="12">
        <v>3</v>
      </c>
      <c r="G260" s="12" t="s">
        <v>40</v>
      </c>
      <c r="H260" s="10"/>
      <c r="I260" s="32">
        <f t="shared" si="3"/>
        <v>0</v>
      </c>
      <c r="J260" s="10" t="s">
        <v>21</v>
      </c>
      <c r="K260" s="12" t="s">
        <v>396</v>
      </c>
      <c r="L260" s="10"/>
      <c r="M260" s="10"/>
    </row>
    <row r="261" spans="1:13" ht="15" customHeight="1" x14ac:dyDescent="0.25">
      <c r="A261" s="7">
        <v>247</v>
      </c>
      <c r="B261" s="34"/>
      <c r="C261" s="11"/>
      <c r="D261" s="14" t="s">
        <v>409</v>
      </c>
      <c r="E261" s="12">
        <f>Table1[[#This Row],[QUANTITY]]-Table1[[#This Row],[CONSUMPTION]]</f>
        <v>2</v>
      </c>
      <c r="F261" s="12">
        <v>2</v>
      </c>
      <c r="G261" s="12" t="s">
        <v>410</v>
      </c>
      <c r="H261" s="10"/>
      <c r="I261" s="32">
        <f t="shared" si="3"/>
        <v>0</v>
      </c>
      <c r="J261" s="10" t="s">
        <v>21</v>
      </c>
      <c r="K261" s="12" t="s">
        <v>396</v>
      </c>
      <c r="L261" s="10"/>
      <c r="M261" s="10"/>
    </row>
    <row r="262" spans="1:13" ht="15" customHeight="1" x14ac:dyDescent="0.25">
      <c r="A262" s="9">
        <v>248</v>
      </c>
      <c r="B262" s="34"/>
      <c r="C262" s="11"/>
      <c r="D262" s="14" t="s">
        <v>411</v>
      </c>
      <c r="E262" s="12">
        <f>Table1[[#This Row],[QUANTITY]]-Table1[[#This Row],[CONSUMPTION]]</f>
        <v>2</v>
      </c>
      <c r="F262" s="12">
        <v>2</v>
      </c>
      <c r="G262" s="12" t="s">
        <v>410</v>
      </c>
      <c r="H262" s="10"/>
      <c r="I262" s="32">
        <f t="shared" si="3"/>
        <v>0</v>
      </c>
      <c r="J262" s="10" t="s">
        <v>21</v>
      </c>
      <c r="K262" s="12" t="s">
        <v>396</v>
      </c>
      <c r="L262" s="10"/>
      <c r="M262" s="10"/>
    </row>
    <row r="263" spans="1:13" ht="15" customHeight="1" x14ac:dyDescent="0.25">
      <c r="A263" s="7">
        <v>249</v>
      </c>
      <c r="B263" s="34"/>
      <c r="C263" s="11"/>
      <c r="D263" s="14" t="s">
        <v>412</v>
      </c>
      <c r="E263" s="12">
        <f>Table1[[#This Row],[QUANTITY]]-Table1[[#This Row],[CONSUMPTION]]</f>
        <v>2</v>
      </c>
      <c r="F263" s="12">
        <v>2</v>
      </c>
      <c r="G263" s="12" t="s">
        <v>410</v>
      </c>
      <c r="H263" s="10"/>
      <c r="I263" s="32">
        <f t="shared" si="3"/>
        <v>0</v>
      </c>
      <c r="J263" s="10" t="s">
        <v>21</v>
      </c>
      <c r="K263" s="12" t="s">
        <v>396</v>
      </c>
      <c r="L263" s="10"/>
      <c r="M263" s="10"/>
    </row>
    <row r="264" spans="1:13" ht="15" customHeight="1" x14ac:dyDescent="0.25">
      <c r="A264" s="7">
        <v>250</v>
      </c>
      <c r="B264" s="34"/>
      <c r="C264" s="11"/>
      <c r="D264" s="36" t="s">
        <v>413</v>
      </c>
      <c r="E264" s="12">
        <f>Table1[[#This Row],[QUANTITY]]-Table1[[#This Row],[CONSUMPTION]]</f>
        <v>2</v>
      </c>
      <c r="F264" s="12">
        <v>2</v>
      </c>
      <c r="G264" s="12" t="s">
        <v>410</v>
      </c>
      <c r="H264" s="10"/>
      <c r="I264" s="32">
        <f t="shared" si="3"/>
        <v>0</v>
      </c>
      <c r="J264" s="10" t="s">
        <v>21</v>
      </c>
      <c r="K264" s="12" t="s">
        <v>396</v>
      </c>
      <c r="L264" s="10"/>
      <c r="M264" s="10"/>
    </row>
    <row r="265" spans="1:13" ht="15" customHeight="1" x14ac:dyDescent="0.25">
      <c r="A265" s="7">
        <v>251</v>
      </c>
      <c r="B265" s="34"/>
      <c r="C265" s="11"/>
      <c r="D265" s="14" t="s">
        <v>414</v>
      </c>
      <c r="E265" s="12">
        <f>Table1[[#This Row],[QUANTITY]]-Table1[[#This Row],[CONSUMPTION]]</f>
        <v>3</v>
      </c>
      <c r="F265" s="12">
        <v>3</v>
      </c>
      <c r="G265" s="12" t="s">
        <v>410</v>
      </c>
      <c r="H265" s="10"/>
      <c r="I265" s="32">
        <f t="shared" si="3"/>
        <v>0</v>
      </c>
      <c r="J265" s="10" t="s">
        <v>21</v>
      </c>
      <c r="K265" s="12" t="s">
        <v>396</v>
      </c>
      <c r="L265" s="10"/>
      <c r="M265" s="10"/>
    </row>
    <row r="266" spans="1:13" ht="15" customHeight="1" x14ac:dyDescent="0.25">
      <c r="A266" s="9">
        <v>252</v>
      </c>
      <c r="B266" s="34"/>
      <c r="C266" s="11"/>
      <c r="D266" s="14" t="s">
        <v>415</v>
      </c>
      <c r="E266" s="12">
        <f>Table1[[#This Row],[QUANTITY]]-Table1[[#This Row],[CONSUMPTION]]</f>
        <v>10</v>
      </c>
      <c r="F266" s="12">
        <v>10</v>
      </c>
      <c r="G266" s="12" t="s">
        <v>416</v>
      </c>
      <c r="H266" s="10"/>
      <c r="I266" s="32">
        <f t="shared" si="3"/>
        <v>0</v>
      </c>
      <c r="J266" s="10" t="s">
        <v>21</v>
      </c>
      <c r="K266" s="12" t="s">
        <v>396</v>
      </c>
      <c r="L266" s="10"/>
      <c r="M266" s="10"/>
    </row>
    <row r="267" spans="1:13" ht="15" customHeight="1" x14ac:dyDescent="0.25">
      <c r="A267" s="7">
        <v>253</v>
      </c>
      <c r="B267" s="34"/>
      <c r="C267" s="11"/>
      <c r="D267" s="14" t="s">
        <v>417</v>
      </c>
      <c r="E267" s="12">
        <f>Table1[[#This Row],[QUANTITY]]-Table1[[#This Row],[CONSUMPTION]]</f>
        <v>10</v>
      </c>
      <c r="F267" s="12">
        <v>10</v>
      </c>
      <c r="G267" s="12" t="s">
        <v>416</v>
      </c>
      <c r="H267" s="10"/>
      <c r="I267" s="32">
        <f t="shared" si="3"/>
        <v>0</v>
      </c>
      <c r="J267" s="10" t="s">
        <v>21</v>
      </c>
      <c r="K267" s="12" t="s">
        <v>396</v>
      </c>
      <c r="L267" s="10"/>
      <c r="M267" s="10"/>
    </row>
    <row r="268" spans="1:13" ht="15" customHeight="1" x14ac:dyDescent="0.25">
      <c r="A268" s="7">
        <v>254</v>
      </c>
      <c r="B268" s="34"/>
      <c r="C268" s="11"/>
      <c r="D268" s="14" t="s">
        <v>418</v>
      </c>
      <c r="E268" s="12">
        <f>Table1[[#This Row],[QUANTITY]]-Table1[[#This Row],[CONSUMPTION]]</f>
        <v>1</v>
      </c>
      <c r="F268" s="12">
        <v>1</v>
      </c>
      <c r="G268" s="12" t="s">
        <v>40</v>
      </c>
      <c r="H268" s="10"/>
      <c r="I268" s="32">
        <f t="shared" si="3"/>
        <v>0</v>
      </c>
      <c r="J268" s="10" t="s">
        <v>8</v>
      </c>
      <c r="K268" s="12" t="s">
        <v>396</v>
      </c>
      <c r="L268" s="10"/>
      <c r="M268" s="10"/>
    </row>
    <row r="269" spans="1:13" ht="15" customHeight="1" x14ac:dyDescent="0.25">
      <c r="A269" s="7">
        <v>255</v>
      </c>
      <c r="B269" s="34"/>
      <c r="C269" s="11"/>
      <c r="D269" s="14" t="s">
        <v>419</v>
      </c>
      <c r="E269" s="12">
        <f>Table1[[#This Row],[QUANTITY]]-Table1[[#This Row],[CONSUMPTION]]</f>
        <v>1</v>
      </c>
      <c r="F269" s="12">
        <v>1</v>
      </c>
      <c r="G269" s="12" t="s">
        <v>40</v>
      </c>
      <c r="H269" s="10"/>
      <c r="I269" s="32">
        <f t="shared" si="3"/>
        <v>0</v>
      </c>
      <c r="J269" s="10" t="s">
        <v>420</v>
      </c>
      <c r="K269" s="12" t="s">
        <v>396</v>
      </c>
      <c r="L269" s="10"/>
      <c r="M269" s="10"/>
    </row>
    <row r="270" spans="1:13" ht="15" customHeight="1" x14ac:dyDescent="0.25">
      <c r="A270" s="9">
        <v>256</v>
      </c>
      <c r="B270" s="34"/>
      <c r="C270" s="11"/>
      <c r="D270" s="14" t="s">
        <v>421</v>
      </c>
      <c r="E270" s="12">
        <f>Table1[[#This Row],[QUANTITY]]-Table1[[#This Row],[CONSUMPTION]]</f>
        <v>1</v>
      </c>
      <c r="F270" s="12">
        <v>1</v>
      </c>
      <c r="G270" s="12" t="s">
        <v>40</v>
      </c>
      <c r="H270" s="10"/>
      <c r="I270" s="32">
        <f t="shared" si="3"/>
        <v>0</v>
      </c>
      <c r="J270" s="10" t="s">
        <v>49</v>
      </c>
      <c r="K270" s="12" t="s">
        <v>396</v>
      </c>
      <c r="L270" s="10"/>
      <c r="M270" s="10"/>
    </row>
    <row r="271" spans="1:13" ht="15" customHeight="1" x14ac:dyDescent="0.25">
      <c r="A271" s="7">
        <v>257</v>
      </c>
      <c r="B271" s="34"/>
      <c r="C271" s="11"/>
      <c r="D271" s="14" t="s">
        <v>422</v>
      </c>
      <c r="E271" s="12">
        <f>Table1[[#This Row],[QUANTITY]]-Table1[[#This Row],[CONSUMPTION]]</f>
        <v>5</v>
      </c>
      <c r="F271" s="12">
        <v>5</v>
      </c>
      <c r="G271" s="12" t="s">
        <v>40</v>
      </c>
      <c r="H271" s="10"/>
      <c r="I271" s="32">
        <f t="shared" ref="I271:I334" si="4">H271*E271</f>
        <v>0</v>
      </c>
      <c r="J271" s="10" t="s">
        <v>21</v>
      </c>
      <c r="K271" s="12" t="s">
        <v>396</v>
      </c>
      <c r="L271" s="10"/>
      <c r="M271" s="10"/>
    </row>
    <row r="272" spans="1:13" ht="15" customHeight="1" x14ac:dyDescent="0.25">
      <c r="A272" s="7">
        <v>258</v>
      </c>
      <c r="B272" s="34"/>
      <c r="C272" s="11"/>
      <c r="D272" s="14" t="s">
        <v>423</v>
      </c>
      <c r="E272" s="12">
        <f>Table1[[#This Row],[QUANTITY]]-Table1[[#This Row],[CONSUMPTION]]</f>
        <v>3</v>
      </c>
      <c r="F272" s="12">
        <v>3</v>
      </c>
      <c r="G272" s="12" t="s">
        <v>416</v>
      </c>
      <c r="H272" s="10"/>
      <c r="I272" s="32">
        <f t="shared" si="4"/>
        <v>0</v>
      </c>
      <c r="J272" s="10" t="s">
        <v>21</v>
      </c>
      <c r="K272" s="12" t="s">
        <v>396</v>
      </c>
      <c r="L272" s="10"/>
      <c r="M272" s="10"/>
    </row>
    <row r="273" spans="1:13" ht="15" customHeight="1" x14ac:dyDescent="0.25">
      <c r="A273" s="7">
        <v>259</v>
      </c>
      <c r="B273" s="34"/>
      <c r="C273" s="11"/>
      <c r="D273" s="14" t="s">
        <v>424</v>
      </c>
      <c r="E273" s="12">
        <f>Table1[[#This Row],[QUANTITY]]-Table1[[#This Row],[CONSUMPTION]]</f>
        <v>50</v>
      </c>
      <c r="F273" s="12">
        <v>50</v>
      </c>
      <c r="G273" s="12" t="s">
        <v>40</v>
      </c>
      <c r="H273" s="10"/>
      <c r="I273" s="32">
        <f t="shared" si="4"/>
        <v>0</v>
      </c>
      <c r="J273" s="10" t="s">
        <v>21</v>
      </c>
      <c r="K273" s="12" t="s">
        <v>396</v>
      </c>
      <c r="L273" s="10"/>
      <c r="M273" s="10"/>
    </row>
    <row r="274" spans="1:13" ht="15" customHeight="1" x14ac:dyDescent="0.25">
      <c r="A274" s="9">
        <v>260</v>
      </c>
      <c r="B274" s="33"/>
      <c r="C274" s="2"/>
      <c r="D274" s="13" t="s">
        <v>425</v>
      </c>
      <c r="E274" s="12">
        <f>Table1[[#This Row],[QUANTITY]]-Table1[[#This Row],[CONSUMPTION]]</f>
        <v>6</v>
      </c>
      <c r="F274" s="12">
        <v>6</v>
      </c>
      <c r="G274" s="12" t="s">
        <v>40</v>
      </c>
      <c r="H274" s="4"/>
      <c r="I274" s="32">
        <f t="shared" si="4"/>
        <v>0</v>
      </c>
      <c r="J274" s="10" t="s">
        <v>21</v>
      </c>
      <c r="K274" s="12" t="s">
        <v>396</v>
      </c>
      <c r="L274" s="4"/>
      <c r="M274" s="4"/>
    </row>
    <row r="275" spans="1:13" ht="15" customHeight="1" x14ac:dyDescent="0.25">
      <c r="A275" s="7">
        <v>261</v>
      </c>
      <c r="B275" s="34"/>
      <c r="C275" s="11"/>
      <c r="D275" s="14" t="s">
        <v>426</v>
      </c>
      <c r="E275" s="12">
        <f>Table1[[#This Row],[QUANTITY]]-Table1[[#This Row],[CONSUMPTION]]</f>
        <v>9</v>
      </c>
      <c r="F275" s="12">
        <v>9</v>
      </c>
      <c r="G275" s="12" t="s">
        <v>40</v>
      </c>
      <c r="H275" s="10"/>
      <c r="I275" s="32">
        <f t="shared" si="4"/>
        <v>0</v>
      </c>
      <c r="J275" s="10" t="s">
        <v>21</v>
      </c>
      <c r="K275" s="12" t="s">
        <v>396</v>
      </c>
      <c r="L275" s="10"/>
      <c r="M275" s="10"/>
    </row>
    <row r="276" spans="1:13" ht="15" customHeight="1" x14ac:dyDescent="0.25">
      <c r="A276" s="7">
        <v>262</v>
      </c>
      <c r="B276" s="34"/>
      <c r="C276" s="11"/>
      <c r="D276" s="14" t="s">
        <v>427</v>
      </c>
      <c r="E276" s="12">
        <f>Table1[[#This Row],[QUANTITY]]-Table1[[#This Row],[CONSUMPTION]]</f>
        <v>19</v>
      </c>
      <c r="F276" s="12">
        <v>19</v>
      </c>
      <c r="G276" s="12" t="s">
        <v>40</v>
      </c>
      <c r="H276" s="10"/>
      <c r="I276" s="32">
        <f t="shared" si="4"/>
        <v>0</v>
      </c>
      <c r="J276" s="10" t="s">
        <v>21</v>
      </c>
      <c r="K276" s="12" t="s">
        <v>396</v>
      </c>
      <c r="L276" s="10"/>
      <c r="M276" s="10"/>
    </row>
    <row r="277" spans="1:13" ht="15" customHeight="1" x14ac:dyDescent="0.25">
      <c r="A277" s="7">
        <v>263</v>
      </c>
      <c r="B277" s="34"/>
      <c r="C277" s="11"/>
      <c r="D277" s="14" t="s">
        <v>428</v>
      </c>
      <c r="E277" s="12">
        <f>Table1[[#This Row],[QUANTITY]]-Table1[[#This Row],[CONSUMPTION]]</f>
        <v>10</v>
      </c>
      <c r="F277" s="12">
        <v>10</v>
      </c>
      <c r="G277" s="12" t="s">
        <v>40</v>
      </c>
      <c r="H277" s="10"/>
      <c r="I277" s="32">
        <f t="shared" si="4"/>
        <v>0</v>
      </c>
      <c r="J277" s="10" t="s">
        <v>21</v>
      </c>
      <c r="K277" s="12" t="s">
        <v>396</v>
      </c>
      <c r="L277" s="10"/>
      <c r="M277" s="10"/>
    </row>
    <row r="278" spans="1:13" ht="15" customHeight="1" x14ac:dyDescent="0.25">
      <c r="A278" s="9">
        <v>264</v>
      </c>
      <c r="B278" s="34"/>
      <c r="C278" s="11"/>
      <c r="D278" s="14" t="s">
        <v>429</v>
      </c>
      <c r="E278" s="12">
        <f>Table1[[#This Row],[QUANTITY]]-Table1[[#This Row],[CONSUMPTION]]</f>
        <v>1</v>
      </c>
      <c r="F278" s="12">
        <v>1</v>
      </c>
      <c r="G278" s="12" t="s">
        <v>40</v>
      </c>
      <c r="H278" s="10"/>
      <c r="I278" s="32">
        <f t="shared" si="4"/>
        <v>0</v>
      </c>
      <c r="J278" s="10" t="s">
        <v>21</v>
      </c>
      <c r="K278" s="12" t="s">
        <v>396</v>
      </c>
      <c r="L278" s="10"/>
      <c r="M278" s="10"/>
    </row>
    <row r="279" spans="1:13" ht="15" customHeight="1" x14ac:dyDescent="0.25">
      <c r="A279" s="7">
        <v>265</v>
      </c>
      <c r="B279" s="34"/>
      <c r="C279" s="11"/>
      <c r="D279" s="14" t="s">
        <v>430</v>
      </c>
      <c r="E279" s="12">
        <f>Table1[[#This Row],[QUANTITY]]-Table1[[#This Row],[CONSUMPTION]]</f>
        <v>4</v>
      </c>
      <c r="F279" s="12">
        <v>4</v>
      </c>
      <c r="G279" s="12" t="s">
        <v>40</v>
      </c>
      <c r="H279" s="10"/>
      <c r="I279" s="32">
        <f t="shared" si="4"/>
        <v>0</v>
      </c>
      <c r="J279" s="10" t="s">
        <v>21</v>
      </c>
      <c r="K279" s="12" t="s">
        <v>396</v>
      </c>
      <c r="L279" s="10"/>
      <c r="M279" s="10"/>
    </row>
    <row r="280" spans="1:13" ht="15" customHeight="1" x14ac:dyDescent="0.25">
      <c r="A280" s="7">
        <v>266</v>
      </c>
      <c r="B280" s="34"/>
      <c r="C280" s="11"/>
      <c r="D280" s="14" t="s">
        <v>431</v>
      </c>
      <c r="E280" s="12">
        <f ca="1">Table1[[#This Row],[QUANTITY]]-Table1[[#This Row],[CONSUMPTION]]</f>
        <v>0</v>
      </c>
      <c r="F280" s="12">
        <f ca="1">Table1[[#This Row],[QUANTITY]]-Table1[[#This Row],[CONSUMPTION]]</f>
        <v>0</v>
      </c>
      <c r="G280" s="12" t="s">
        <v>40</v>
      </c>
      <c r="H280" s="10"/>
      <c r="I280" s="32">
        <f t="shared" ca="1" si="4"/>
        <v>0</v>
      </c>
      <c r="J280" s="10" t="s">
        <v>21</v>
      </c>
      <c r="K280" s="12" t="s">
        <v>396</v>
      </c>
      <c r="L280" s="10"/>
      <c r="M280" s="10"/>
    </row>
    <row r="281" spans="1:13" ht="15" customHeight="1" x14ac:dyDescent="0.25">
      <c r="A281" s="7">
        <v>267</v>
      </c>
      <c r="B281" s="34"/>
      <c r="C281" s="11"/>
      <c r="D281" s="14" t="s">
        <v>432</v>
      </c>
      <c r="E281" s="12">
        <f>Table1[[#This Row],[QUANTITY]]-Table1[[#This Row],[CONSUMPTION]]</f>
        <v>1</v>
      </c>
      <c r="F281" s="12">
        <v>1</v>
      </c>
      <c r="G281" s="12" t="s">
        <v>40</v>
      </c>
      <c r="H281" s="10"/>
      <c r="I281" s="32">
        <f t="shared" si="4"/>
        <v>0</v>
      </c>
      <c r="J281" s="10" t="s">
        <v>21</v>
      </c>
      <c r="K281" s="12" t="s">
        <v>396</v>
      </c>
      <c r="L281" s="10"/>
      <c r="M281" s="10"/>
    </row>
    <row r="282" spans="1:13" ht="15" customHeight="1" x14ac:dyDescent="0.25">
      <c r="A282" s="9">
        <v>268</v>
      </c>
      <c r="B282" s="34"/>
      <c r="C282" s="11"/>
      <c r="D282" s="14" t="s">
        <v>433</v>
      </c>
      <c r="E282" s="12">
        <f>Table1[[#This Row],[QUANTITY]]-Table1[[#This Row],[CONSUMPTION]]</f>
        <v>3</v>
      </c>
      <c r="F282" s="12">
        <v>3</v>
      </c>
      <c r="G282" s="12" t="s">
        <v>40</v>
      </c>
      <c r="H282" s="10"/>
      <c r="I282" s="32">
        <f t="shared" si="4"/>
        <v>0</v>
      </c>
      <c r="J282" s="10" t="s">
        <v>21</v>
      </c>
      <c r="K282" s="12" t="s">
        <v>396</v>
      </c>
      <c r="L282" s="10"/>
      <c r="M282" s="10"/>
    </row>
    <row r="283" spans="1:13" ht="15" customHeight="1" x14ac:dyDescent="0.25">
      <c r="A283" s="7">
        <v>269</v>
      </c>
      <c r="B283" s="34"/>
      <c r="C283" s="11"/>
      <c r="D283" s="14" t="s">
        <v>434</v>
      </c>
      <c r="E283" s="12">
        <f>Table1[[#This Row],[QUANTITY]]-Table1[[#This Row],[CONSUMPTION]]</f>
        <v>1</v>
      </c>
      <c r="F283" s="12">
        <v>1</v>
      </c>
      <c r="G283" s="12" t="s">
        <v>40</v>
      </c>
      <c r="H283" s="10"/>
      <c r="I283" s="32">
        <f t="shared" si="4"/>
        <v>0</v>
      </c>
      <c r="J283" s="10" t="s">
        <v>21</v>
      </c>
      <c r="K283" s="12" t="s">
        <v>396</v>
      </c>
      <c r="L283" s="10"/>
      <c r="M283" s="10"/>
    </row>
    <row r="284" spans="1:13" ht="15" customHeight="1" x14ac:dyDescent="0.25">
      <c r="A284" s="7">
        <v>270</v>
      </c>
      <c r="B284" s="34"/>
      <c r="C284" s="11"/>
      <c r="D284" s="14" t="s">
        <v>435</v>
      </c>
      <c r="E284" s="12">
        <f>Table1[[#This Row],[QUANTITY]]-Table1[[#This Row],[CONSUMPTION]]</f>
        <v>20</v>
      </c>
      <c r="F284" s="12">
        <v>20</v>
      </c>
      <c r="G284" s="12" t="s">
        <v>40</v>
      </c>
      <c r="H284" s="10"/>
      <c r="I284" s="32">
        <f t="shared" si="4"/>
        <v>0</v>
      </c>
      <c r="J284" s="10" t="s">
        <v>21</v>
      </c>
      <c r="K284" s="12" t="s">
        <v>396</v>
      </c>
      <c r="L284" s="10"/>
      <c r="M284" s="10"/>
    </row>
    <row r="285" spans="1:13" ht="15" customHeight="1" x14ac:dyDescent="0.25">
      <c r="A285" s="7">
        <v>271</v>
      </c>
      <c r="B285" s="34"/>
      <c r="C285" s="11"/>
      <c r="D285" s="14" t="s">
        <v>436</v>
      </c>
      <c r="E285" s="12">
        <f>Table1[[#This Row],[QUANTITY]]-Table1[[#This Row],[CONSUMPTION]]</f>
        <v>90</v>
      </c>
      <c r="F285" s="12">
        <v>90</v>
      </c>
      <c r="G285" s="12" t="s">
        <v>40</v>
      </c>
      <c r="H285" s="10"/>
      <c r="I285" s="32">
        <f t="shared" si="4"/>
        <v>0</v>
      </c>
      <c r="J285" s="10" t="s">
        <v>21</v>
      </c>
      <c r="K285" s="12" t="s">
        <v>396</v>
      </c>
      <c r="L285" s="10"/>
      <c r="M285" s="10"/>
    </row>
    <row r="286" spans="1:13" ht="15" customHeight="1" x14ac:dyDescent="0.25">
      <c r="A286" s="9">
        <v>272</v>
      </c>
      <c r="B286" s="34"/>
      <c r="C286" s="11"/>
      <c r="D286" s="14" t="s">
        <v>437</v>
      </c>
      <c r="E286" s="12">
        <f>Table1[[#This Row],[QUANTITY]]-Table1[[#This Row],[CONSUMPTION]]</f>
        <v>20</v>
      </c>
      <c r="F286" s="12">
        <v>20</v>
      </c>
      <c r="G286" s="12" t="s">
        <v>40</v>
      </c>
      <c r="H286" s="10"/>
      <c r="I286" s="32">
        <f t="shared" si="4"/>
        <v>0</v>
      </c>
      <c r="J286" s="10" t="s">
        <v>21</v>
      </c>
      <c r="K286" s="12" t="s">
        <v>396</v>
      </c>
      <c r="L286" s="10"/>
      <c r="M286" s="10"/>
    </row>
    <row r="287" spans="1:13" ht="15" customHeight="1" x14ac:dyDescent="0.25">
      <c r="A287" s="7">
        <v>273</v>
      </c>
      <c r="B287" s="34"/>
      <c r="C287" s="11"/>
      <c r="D287" s="14" t="s">
        <v>438</v>
      </c>
      <c r="E287" s="12">
        <f>Table1[[#This Row],[QUANTITY]]-Table1[[#This Row],[CONSUMPTION]]</f>
        <v>10</v>
      </c>
      <c r="F287" s="12">
        <v>10</v>
      </c>
      <c r="G287" s="12" t="s">
        <v>40</v>
      </c>
      <c r="H287" s="10"/>
      <c r="I287" s="32">
        <f t="shared" si="4"/>
        <v>0</v>
      </c>
      <c r="J287" s="10" t="s">
        <v>21</v>
      </c>
      <c r="K287" s="12" t="s">
        <v>396</v>
      </c>
      <c r="L287" s="10"/>
      <c r="M287" s="10"/>
    </row>
    <row r="288" spans="1:13" ht="15" customHeight="1" x14ac:dyDescent="0.25">
      <c r="A288" s="7">
        <v>274</v>
      </c>
      <c r="B288" s="34"/>
      <c r="C288" s="11"/>
      <c r="D288" s="14" t="s">
        <v>439</v>
      </c>
      <c r="E288" s="12">
        <f>Table1[[#This Row],[QUANTITY]]-Table1[[#This Row],[CONSUMPTION]]</f>
        <v>10</v>
      </c>
      <c r="F288" s="12">
        <v>10</v>
      </c>
      <c r="G288" s="12" t="s">
        <v>40</v>
      </c>
      <c r="H288" s="10"/>
      <c r="I288" s="32">
        <f t="shared" si="4"/>
        <v>0</v>
      </c>
      <c r="J288" s="10" t="s">
        <v>21</v>
      </c>
      <c r="K288" s="12" t="s">
        <v>396</v>
      </c>
      <c r="L288" s="10"/>
      <c r="M288" s="10"/>
    </row>
    <row r="289" spans="1:13" ht="15" customHeight="1" x14ac:dyDescent="0.25">
      <c r="A289" s="7">
        <v>275</v>
      </c>
      <c r="B289" s="34"/>
      <c r="C289" s="11"/>
      <c r="D289" s="14"/>
      <c r="E289" s="12">
        <f>Table1[[#This Row],[QUANTITY]]-Table1[[#This Row],[CONSUMPTION]]</f>
        <v>3</v>
      </c>
      <c r="F289" s="12">
        <v>3</v>
      </c>
      <c r="G289" s="12"/>
      <c r="H289" s="10"/>
      <c r="I289" s="32">
        <f t="shared" si="4"/>
        <v>0</v>
      </c>
      <c r="J289" s="10" t="s">
        <v>21</v>
      </c>
      <c r="K289" s="12" t="s">
        <v>396</v>
      </c>
      <c r="L289" s="10"/>
      <c r="M289" s="10"/>
    </row>
    <row r="290" spans="1:13" ht="15" customHeight="1" x14ac:dyDescent="0.25">
      <c r="A290" s="9">
        <v>276</v>
      </c>
      <c r="B290" s="34"/>
      <c r="C290" s="11"/>
      <c r="D290" s="14" t="s">
        <v>440</v>
      </c>
      <c r="E290" s="12">
        <f>Table1[[#This Row],[QUANTITY]]-Table1[[#This Row],[CONSUMPTION]]</f>
        <v>3</v>
      </c>
      <c r="F290" s="12">
        <v>3</v>
      </c>
      <c r="G290" s="12" t="s">
        <v>40</v>
      </c>
      <c r="H290" s="10"/>
      <c r="I290" s="32">
        <f t="shared" si="4"/>
        <v>0</v>
      </c>
      <c r="J290" s="10" t="s">
        <v>21</v>
      </c>
      <c r="K290" s="12" t="s">
        <v>396</v>
      </c>
      <c r="L290" s="10"/>
      <c r="M290" s="10"/>
    </row>
    <row r="291" spans="1:13" ht="15" customHeight="1" x14ac:dyDescent="0.25">
      <c r="A291" s="7">
        <v>277</v>
      </c>
      <c r="B291" s="34"/>
      <c r="C291" s="11"/>
      <c r="D291" s="14" t="s">
        <v>441</v>
      </c>
      <c r="E291" s="12">
        <f>Table1[[#This Row],[QUANTITY]]-Table1[[#This Row],[CONSUMPTION]]</f>
        <v>4</v>
      </c>
      <c r="F291" s="12">
        <v>4</v>
      </c>
      <c r="G291" s="12" t="s">
        <v>40</v>
      </c>
      <c r="H291" s="10"/>
      <c r="I291" s="32">
        <f t="shared" si="4"/>
        <v>0</v>
      </c>
      <c r="J291" s="10" t="s">
        <v>21</v>
      </c>
      <c r="K291" s="12" t="s">
        <v>396</v>
      </c>
      <c r="L291" s="10"/>
      <c r="M291" s="10"/>
    </row>
    <row r="292" spans="1:13" ht="15" customHeight="1" x14ac:dyDescent="0.25">
      <c r="A292" s="7">
        <v>278</v>
      </c>
      <c r="B292" s="34"/>
      <c r="C292" s="11"/>
      <c r="D292" s="14" t="s">
        <v>442</v>
      </c>
      <c r="E292" s="12">
        <f>Table1[[#This Row],[QUANTITY]]-Table1[[#This Row],[CONSUMPTION]]</f>
        <v>4</v>
      </c>
      <c r="F292" s="12">
        <v>4</v>
      </c>
      <c r="G292" s="12" t="s">
        <v>40</v>
      </c>
      <c r="H292" s="10"/>
      <c r="I292" s="32">
        <f t="shared" si="4"/>
        <v>0</v>
      </c>
      <c r="J292" s="10" t="s">
        <v>21</v>
      </c>
      <c r="K292" s="12" t="s">
        <v>396</v>
      </c>
      <c r="L292" s="10"/>
      <c r="M292" s="10"/>
    </row>
    <row r="293" spans="1:13" ht="15" customHeight="1" x14ac:dyDescent="0.25">
      <c r="A293" s="7">
        <v>279</v>
      </c>
      <c r="B293" s="34"/>
      <c r="C293" s="11"/>
      <c r="D293" s="14" t="s">
        <v>443</v>
      </c>
      <c r="E293" s="12">
        <f>Table1[[#This Row],[QUANTITY]]-Table1[[#This Row],[CONSUMPTION]]</f>
        <v>2</v>
      </c>
      <c r="F293" s="12">
        <v>2</v>
      </c>
      <c r="G293" s="12" t="s">
        <v>40</v>
      </c>
      <c r="H293" s="10"/>
      <c r="I293" s="32">
        <f t="shared" si="4"/>
        <v>0</v>
      </c>
      <c r="J293" s="10" t="s">
        <v>21</v>
      </c>
      <c r="K293" s="12" t="s">
        <v>396</v>
      </c>
      <c r="L293" s="10"/>
      <c r="M293" s="10"/>
    </row>
    <row r="294" spans="1:13" ht="15" customHeight="1" x14ac:dyDescent="0.25">
      <c r="A294" s="9">
        <v>280</v>
      </c>
      <c r="B294" s="34"/>
      <c r="C294" s="11"/>
      <c r="D294" s="14" t="s">
        <v>444</v>
      </c>
      <c r="E294" s="12">
        <f>Table1[[#This Row],[QUANTITY]]-Table1[[#This Row],[CONSUMPTION]]</f>
        <v>2</v>
      </c>
      <c r="F294" s="12">
        <v>2</v>
      </c>
      <c r="G294" s="12" t="s">
        <v>40</v>
      </c>
      <c r="H294" s="10"/>
      <c r="I294" s="32">
        <f t="shared" si="4"/>
        <v>0</v>
      </c>
      <c r="J294" s="10" t="s">
        <v>21</v>
      </c>
      <c r="K294" s="12" t="s">
        <v>396</v>
      </c>
      <c r="L294" s="10"/>
      <c r="M294" s="10"/>
    </row>
    <row r="295" spans="1:13" ht="15" customHeight="1" x14ac:dyDescent="0.25">
      <c r="A295" s="7">
        <v>281</v>
      </c>
      <c r="B295" s="34"/>
      <c r="C295" s="11" t="s">
        <v>445</v>
      </c>
      <c r="D295" s="14" t="s">
        <v>446</v>
      </c>
      <c r="E295" s="12">
        <f>Table1[[#This Row],[QUANTITY]]-Table1[[#This Row],[CONSUMPTION]]</f>
        <v>1</v>
      </c>
      <c r="F295" s="12">
        <v>1</v>
      </c>
      <c r="G295" s="12" t="s">
        <v>40</v>
      </c>
      <c r="H295" s="10"/>
      <c r="I295" s="32">
        <f t="shared" si="4"/>
        <v>0</v>
      </c>
      <c r="J295" s="10" t="s">
        <v>19</v>
      </c>
      <c r="K295" s="12" t="s">
        <v>447</v>
      </c>
      <c r="L295" s="10"/>
      <c r="M295" s="10"/>
    </row>
    <row r="296" spans="1:13" ht="15" customHeight="1" x14ac:dyDescent="0.25">
      <c r="A296" s="7">
        <v>282</v>
      </c>
      <c r="B296" s="34"/>
      <c r="C296" s="11" t="s">
        <v>448</v>
      </c>
      <c r="D296" s="14" t="s">
        <v>446</v>
      </c>
      <c r="E296" s="12">
        <f>Table1[[#This Row],[QUANTITY]]-Table1[[#This Row],[CONSUMPTION]]</f>
        <v>1</v>
      </c>
      <c r="F296" s="12">
        <v>1</v>
      </c>
      <c r="G296" s="12" t="s">
        <v>40</v>
      </c>
      <c r="H296" s="10"/>
      <c r="I296" s="32">
        <f t="shared" si="4"/>
        <v>0</v>
      </c>
      <c r="J296" s="10" t="s">
        <v>19</v>
      </c>
      <c r="K296" s="12" t="s">
        <v>447</v>
      </c>
      <c r="L296" s="10"/>
      <c r="M296" s="10"/>
    </row>
    <row r="297" spans="1:13" ht="15" customHeight="1" x14ac:dyDescent="0.25">
      <c r="A297" s="7">
        <v>283</v>
      </c>
      <c r="B297" s="34"/>
      <c r="C297" s="11" t="s">
        <v>449</v>
      </c>
      <c r="D297" s="14" t="s">
        <v>450</v>
      </c>
      <c r="E297" s="12">
        <f>Table1[[#This Row],[QUANTITY]]-Table1[[#This Row],[CONSUMPTION]]</f>
        <v>1</v>
      </c>
      <c r="F297" s="12">
        <v>1</v>
      </c>
      <c r="G297" s="12" t="s">
        <v>40</v>
      </c>
      <c r="H297" s="10"/>
      <c r="I297" s="32">
        <f t="shared" si="4"/>
        <v>0</v>
      </c>
      <c r="J297" s="10" t="s">
        <v>19</v>
      </c>
      <c r="K297" s="12" t="s">
        <v>447</v>
      </c>
      <c r="L297" s="10"/>
      <c r="M297" s="10"/>
    </row>
    <row r="298" spans="1:13" ht="15" customHeight="1" x14ac:dyDescent="0.25">
      <c r="A298" s="9">
        <v>284</v>
      </c>
      <c r="B298" s="34"/>
      <c r="C298" s="11" t="s">
        <v>451</v>
      </c>
      <c r="D298" s="14" t="s">
        <v>450</v>
      </c>
      <c r="E298" s="12">
        <f>Table1[[#This Row],[QUANTITY]]-Table1[[#This Row],[CONSUMPTION]]</f>
        <v>1</v>
      </c>
      <c r="F298" s="12">
        <v>1</v>
      </c>
      <c r="G298" s="12" t="s">
        <v>40</v>
      </c>
      <c r="H298" s="10"/>
      <c r="I298" s="32">
        <f t="shared" si="4"/>
        <v>0</v>
      </c>
      <c r="J298" s="10" t="s">
        <v>19</v>
      </c>
      <c r="K298" s="12" t="s">
        <v>447</v>
      </c>
      <c r="L298" s="10"/>
      <c r="M298" s="10"/>
    </row>
    <row r="299" spans="1:13" ht="15" customHeight="1" x14ac:dyDescent="0.25">
      <c r="A299" s="7">
        <v>285</v>
      </c>
      <c r="B299" s="34"/>
      <c r="C299" s="11" t="s">
        <v>452</v>
      </c>
      <c r="D299" s="14" t="s">
        <v>453</v>
      </c>
      <c r="E299" s="12">
        <f>Table1[[#This Row],[QUANTITY]]-Table1[[#This Row],[CONSUMPTION]]</f>
        <v>1</v>
      </c>
      <c r="F299" s="12">
        <v>1</v>
      </c>
      <c r="G299" s="12" t="s">
        <v>40</v>
      </c>
      <c r="H299" s="10"/>
      <c r="I299" s="32">
        <f t="shared" si="4"/>
        <v>0</v>
      </c>
      <c r="J299" s="10" t="s">
        <v>19</v>
      </c>
      <c r="K299" s="12" t="s">
        <v>447</v>
      </c>
      <c r="L299" s="10"/>
      <c r="M299" s="10"/>
    </row>
    <row r="300" spans="1:13" ht="15" customHeight="1" x14ac:dyDescent="0.25">
      <c r="A300" s="7">
        <v>286</v>
      </c>
      <c r="B300" s="34"/>
      <c r="C300" s="11" t="s">
        <v>454</v>
      </c>
      <c r="D300" s="14" t="s">
        <v>453</v>
      </c>
      <c r="E300" s="12">
        <f>Table1[[#This Row],[QUANTITY]]-Table1[[#This Row],[CONSUMPTION]]</f>
        <v>1</v>
      </c>
      <c r="F300" s="12">
        <v>1</v>
      </c>
      <c r="G300" s="12" t="s">
        <v>40</v>
      </c>
      <c r="H300" s="10"/>
      <c r="I300" s="32">
        <f t="shared" si="4"/>
        <v>0</v>
      </c>
      <c r="J300" s="10" t="s">
        <v>19</v>
      </c>
      <c r="K300" s="12" t="s">
        <v>447</v>
      </c>
      <c r="L300" s="10"/>
      <c r="M300" s="10"/>
    </row>
    <row r="301" spans="1:13" ht="15" customHeight="1" x14ac:dyDescent="0.25">
      <c r="A301" s="7">
        <v>287</v>
      </c>
      <c r="B301" s="34"/>
      <c r="C301" s="11" t="s">
        <v>455</v>
      </c>
      <c r="D301" s="14" t="s">
        <v>456</v>
      </c>
      <c r="E301" s="12">
        <f>Table1[[#This Row],[QUANTITY]]-Table1[[#This Row],[CONSUMPTION]]</f>
        <v>1</v>
      </c>
      <c r="F301" s="12">
        <v>1</v>
      </c>
      <c r="G301" s="12" t="s">
        <v>40</v>
      </c>
      <c r="H301" s="10"/>
      <c r="I301" s="32">
        <f t="shared" si="4"/>
        <v>0</v>
      </c>
      <c r="J301" s="10" t="s">
        <v>19</v>
      </c>
      <c r="K301" s="12" t="s">
        <v>447</v>
      </c>
      <c r="L301" s="10"/>
      <c r="M301" s="10"/>
    </row>
    <row r="302" spans="1:13" ht="15" customHeight="1" x14ac:dyDescent="0.25">
      <c r="A302" s="9">
        <v>288</v>
      </c>
      <c r="B302" s="34"/>
      <c r="C302" s="11" t="s">
        <v>457</v>
      </c>
      <c r="D302" s="14" t="s">
        <v>456</v>
      </c>
      <c r="E302" s="12">
        <f>Table1[[#This Row],[QUANTITY]]-Table1[[#This Row],[CONSUMPTION]]</f>
        <v>1</v>
      </c>
      <c r="F302" s="12">
        <v>1</v>
      </c>
      <c r="G302" s="12" t="s">
        <v>40</v>
      </c>
      <c r="H302" s="10"/>
      <c r="I302" s="32">
        <f t="shared" si="4"/>
        <v>0</v>
      </c>
      <c r="J302" s="10" t="s">
        <v>19</v>
      </c>
      <c r="K302" s="12" t="s">
        <v>447</v>
      </c>
      <c r="L302" s="10"/>
      <c r="M302" s="10"/>
    </row>
    <row r="303" spans="1:13" ht="15" customHeight="1" x14ac:dyDescent="0.25">
      <c r="A303" s="7">
        <v>289</v>
      </c>
      <c r="B303" s="34"/>
      <c r="C303" s="11" t="s">
        <v>458</v>
      </c>
      <c r="D303" s="14" t="s">
        <v>453</v>
      </c>
      <c r="E303" s="12">
        <f>Table1[[#This Row],[QUANTITY]]-Table1[[#This Row],[CONSUMPTION]]</f>
        <v>1</v>
      </c>
      <c r="F303" s="12">
        <v>1</v>
      </c>
      <c r="G303" s="12" t="s">
        <v>40</v>
      </c>
      <c r="H303" s="10"/>
      <c r="I303" s="32">
        <f t="shared" si="4"/>
        <v>0</v>
      </c>
      <c r="J303" s="10" t="s">
        <v>19</v>
      </c>
      <c r="K303" s="12" t="s">
        <v>447</v>
      </c>
      <c r="L303" s="10"/>
      <c r="M303" s="10"/>
    </row>
    <row r="304" spans="1:13" ht="15" customHeight="1" x14ac:dyDescent="0.25">
      <c r="A304" s="7">
        <v>290</v>
      </c>
      <c r="B304" s="34"/>
      <c r="C304" s="11" t="s">
        <v>459</v>
      </c>
      <c r="D304" s="14" t="s">
        <v>453</v>
      </c>
      <c r="E304" s="12">
        <f>Table1[[#This Row],[QUANTITY]]-Table1[[#This Row],[CONSUMPTION]]</f>
        <v>1</v>
      </c>
      <c r="F304" s="12">
        <v>1</v>
      </c>
      <c r="G304" s="12" t="s">
        <v>40</v>
      </c>
      <c r="H304" s="10"/>
      <c r="I304" s="32">
        <f t="shared" si="4"/>
        <v>0</v>
      </c>
      <c r="J304" s="10" t="s">
        <v>19</v>
      </c>
      <c r="K304" s="12" t="s">
        <v>447</v>
      </c>
      <c r="L304" s="10"/>
      <c r="M304" s="10"/>
    </row>
    <row r="305" spans="1:13" ht="15" customHeight="1" x14ac:dyDescent="0.25">
      <c r="A305" s="9">
        <v>291</v>
      </c>
      <c r="B305" s="34"/>
      <c r="C305" s="11" t="s">
        <v>460</v>
      </c>
      <c r="D305" s="14" t="s">
        <v>456</v>
      </c>
      <c r="E305" s="12">
        <f>Table1[[#This Row],[QUANTITY]]-Table1[[#This Row],[CONSUMPTION]]</f>
        <v>1</v>
      </c>
      <c r="F305" s="12">
        <v>1</v>
      </c>
      <c r="G305" s="12" t="s">
        <v>40</v>
      </c>
      <c r="H305" s="10"/>
      <c r="I305" s="32">
        <f t="shared" si="4"/>
        <v>0</v>
      </c>
      <c r="J305" s="10" t="s">
        <v>19</v>
      </c>
      <c r="K305" s="12" t="s">
        <v>447</v>
      </c>
      <c r="L305" s="10"/>
      <c r="M305" s="10"/>
    </row>
    <row r="306" spans="1:13" ht="15" customHeight="1" x14ac:dyDescent="0.25">
      <c r="A306" s="7">
        <v>292</v>
      </c>
      <c r="B306" s="34"/>
      <c r="C306" s="11" t="s">
        <v>461</v>
      </c>
      <c r="D306" s="14" t="s">
        <v>456</v>
      </c>
      <c r="E306" s="12">
        <f>Table1[[#This Row],[QUANTITY]]-Table1[[#This Row],[CONSUMPTION]]</f>
        <v>1</v>
      </c>
      <c r="F306" s="12">
        <v>1</v>
      </c>
      <c r="G306" s="12" t="s">
        <v>40</v>
      </c>
      <c r="H306" s="10"/>
      <c r="I306" s="32">
        <f t="shared" si="4"/>
        <v>0</v>
      </c>
      <c r="J306" s="10" t="s">
        <v>19</v>
      </c>
      <c r="K306" s="12" t="s">
        <v>447</v>
      </c>
      <c r="L306" s="10"/>
      <c r="M306" s="10"/>
    </row>
    <row r="307" spans="1:13" ht="15" customHeight="1" x14ac:dyDescent="0.25">
      <c r="A307" s="7">
        <v>293</v>
      </c>
      <c r="B307" s="34"/>
      <c r="C307" s="11" t="s">
        <v>462</v>
      </c>
      <c r="D307" s="14" t="s">
        <v>463</v>
      </c>
      <c r="E307" s="12">
        <f>Table1[[#This Row],[QUANTITY]]-Table1[[#This Row],[CONSUMPTION]]</f>
        <v>1</v>
      </c>
      <c r="F307" s="12">
        <v>1</v>
      </c>
      <c r="G307" s="12" t="s">
        <v>40</v>
      </c>
      <c r="H307" s="10"/>
      <c r="I307" s="32">
        <f t="shared" si="4"/>
        <v>0</v>
      </c>
      <c r="J307" s="10" t="s">
        <v>19</v>
      </c>
      <c r="K307" s="12" t="s">
        <v>447</v>
      </c>
      <c r="L307" s="10"/>
      <c r="M307" s="10"/>
    </row>
    <row r="308" spans="1:13" ht="15" customHeight="1" x14ac:dyDescent="0.25">
      <c r="A308" s="9">
        <v>294</v>
      </c>
      <c r="B308" s="34"/>
      <c r="C308" s="11" t="s">
        <v>464</v>
      </c>
      <c r="D308" s="14" t="s">
        <v>463</v>
      </c>
      <c r="E308" s="12">
        <f>Table1[[#This Row],[QUANTITY]]-Table1[[#This Row],[CONSUMPTION]]</f>
        <v>1</v>
      </c>
      <c r="F308" s="12">
        <v>1</v>
      </c>
      <c r="G308" s="12" t="s">
        <v>40</v>
      </c>
      <c r="H308" s="10"/>
      <c r="I308" s="32">
        <f t="shared" si="4"/>
        <v>0</v>
      </c>
      <c r="J308" s="10" t="s">
        <v>19</v>
      </c>
      <c r="K308" s="12" t="s">
        <v>447</v>
      </c>
      <c r="L308" s="10"/>
      <c r="M308" s="10"/>
    </row>
    <row r="309" spans="1:13" ht="15" customHeight="1" x14ac:dyDescent="0.25">
      <c r="A309" s="7">
        <v>295</v>
      </c>
      <c r="B309" s="11">
        <v>23271000317</v>
      </c>
      <c r="C309" s="2"/>
      <c r="D309" s="14" t="s">
        <v>465</v>
      </c>
      <c r="E309" s="12">
        <f>Table1[[#This Row],[QUANTITY]]-Table1[[#This Row],[CONSUMPTION]]</f>
        <v>2</v>
      </c>
      <c r="F309" s="12">
        <v>3</v>
      </c>
      <c r="G309" s="12" t="s">
        <v>40</v>
      </c>
      <c r="H309" s="4"/>
      <c r="I309" s="32">
        <f t="shared" si="4"/>
        <v>0</v>
      </c>
      <c r="J309" s="10" t="s">
        <v>12</v>
      </c>
      <c r="K309" s="12" t="s">
        <v>466</v>
      </c>
      <c r="L309" s="4">
        <v>1</v>
      </c>
      <c r="M309" s="38">
        <v>45929</v>
      </c>
    </row>
    <row r="310" spans="1:13" ht="15" customHeight="1" x14ac:dyDescent="0.25">
      <c r="A310" s="7">
        <v>296</v>
      </c>
      <c r="B310" s="11">
        <v>232717099834</v>
      </c>
      <c r="C310" s="2"/>
      <c r="D310" s="14" t="s">
        <v>467</v>
      </c>
      <c r="E310" s="12">
        <f>Table1[[#This Row],[QUANTITY]]-Table1[[#This Row],[CONSUMPTION]]</f>
        <v>2</v>
      </c>
      <c r="F310" s="12">
        <v>2</v>
      </c>
      <c r="G310" s="12" t="s">
        <v>40</v>
      </c>
      <c r="H310" s="28">
        <v>7110</v>
      </c>
      <c r="I310" s="32">
        <f t="shared" si="4"/>
        <v>14220</v>
      </c>
      <c r="J310" s="10" t="s">
        <v>12</v>
      </c>
      <c r="K310" s="12" t="s">
        <v>466</v>
      </c>
      <c r="L310" s="4"/>
      <c r="M310" s="4"/>
    </row>
    <row r="311" spans="1:13" ht="15" customHeight="1" x14ac:dyDescent="0.25">
      <c r="A311" s="9">
        <v>297</v>
      </c>
      <c r="B311" s="11">
        <v>312026020027</v>
      </c>
      <c r="C311" s="2"/>
      <c r="D311" s="14" t="s">
        <v>468</v>
      </c>
      <c r="E311" s="12">
        <f>Table1[[#This Row],[QUANTITY]]-Table1[[#This Row],[CONSUMPTION]]</f>
        <v>15</v>
      </c>
      <c r="F311" s="12">
        <v>15</v>
      </c>
      <c r="G311" s="12" t="s">
        <v>115</v>
      </c>
      <c r="H311" s="4"/>
      <c r="I311" s="32">
        <f t="shared" si="4"/>
        <v>0</v>
      </c>
      <c r="J311" s="10" t="s">
        <v>10</v>
      </c>
      <c r="K311" s="12" t="s">
        <v>75</v>
      </c>
      <c r="L311" s="4"/>
      <c r="M311" s="4"/>
    </row>
    <row r="312" spans="1:13" ht="15" customHeight="1" x14ac:dyDescent="0.25">
      <c r="A312" s="7">
        <v>298</v>
      </c>
      <c r="B312" s="11">
        <v>401615000329</v>
      </c>
      <c r="C312" s="2"/>
      <c r="D312" s="14" t="s">
        <v>469</v>
      </c>
      <c r="E312" s="12">
        <f>Table1[[#This Row],[QUANTITY]]-Table1[[#This Row],[CONSUMPTION]]</f>
        <v>0</v>
      </c>
      <c r="F312" s="12">
        <v>2</v>
      </c>
      <c r="G312" s="12" t="s">
        <v>40</v>
      </c>
      <c r="H312" s="28">
        <v>2379.6</v>
      </c>
      <c r="I312" s="32">
        <f t="shared" si="4"/>
        <v>0</v>
      </c>
      <c r="J312" s="10" t="s">
        <v>5</v>
      </c>
      <c r="K312" s="12" t="s">
        <v>179</v>
      </c>
      <c r="L312" s="4">
        <v>2</v>
      </c>
      <c r="M312" s="4"/>
    </row>
    <row r="313" spans="1:13" ht="15" customHeight="1" x14ac:dyDescent="0.25">
      <c r="A313" s="7">
        <v>299</v>
      </c>
      <c r="B313" s="11">
        <v>401615000449</v>
      </c>
      <c r="C313" s="2"/>
      <c r="D313" s="14" t="s">
        <v>470</v>
      </c>
      <c r="E313" s="12">
        <f>Table1[[#This Row],[QUANTITY]]-Table1[[#This Row],[CONSUMPTION]]</f>
        <v>2</v>
      </c>
      <c r="F313" s="12">
        <v>2</v>
      </c>
      <c r="G313" s="12" t="s">
        <v>40</v>
      </c>
      <c r="H313" s="28">
        <v>14694</v>
      </c>
      <c r="I313" s="32">
        <f t="shared" si="4"/>
        <v>29388</v>
      </c>
      <c r="J313" s="10" t="s">
        <v>8</v>
      </c>
      <c r="K313" s="12" t="s">
        <v>332</v>
      </c>
      <c r="L313" s="4"/>
      <c r="M313" s="4"/>
    </row>
    <row r="314" spans="1:13" ht="15" customHeight="1" x14ac:dyDescent="0.25">
      <c r="A314" s="9">
        <v>300</v>
      </c>
      <c r="B314" s="11">
        <v>411100000565</v>
      </c>
      <c r="C314" s="2"/>
      <c r="D314" s="14" t="s">
        <v>471</v>
      </c>
      <c r="E314" s="12">
        <f>Table1[[#This Row],[QUANTITY]]-Table1[[#This Row],[CONSUMPTION]]</f>
        <v>1</v>
      </c>
      <c r="F314" s="12">
        <v>1</v>
      </c>
      <c r="G314" s="12" t="s">
        <v>40</v>
      </c>
      <c r="H314" s="4">
        <v>80278</v>
      </c>
      <c r="I314" s="32">
        <f t="shared" si="4"/>
        <v>80278</v>
      </c>
      <c r="J314" s="10" t="s">
        <v>7</v>
      </c>
      <c r="K314" s="12" t="s">
        <v>472</v>
      </c>
      <c r="L314" s="4"/>
      <c r="M314" s="4"/>
    </row>
    <row r="315" spans="1:13" ht="15" customHeight="1" x14ac:dyDescent="0.25">
      <c r="A315" s="7">
        <v>301</v>
      </c>
      <c r="B315" s="11"/>
      <c r="C315" s="2"/>
      <c r="D315" s="14" t="s">
        <v>473</v>
      </c>
      <c r="E315" s="12">
        <f>Table1[[#This Row],[QUANTITY]]-Table1[[#This Row],[CONSUMPTION]]</f>
        <v>1</v>
      </c>
      <c r="F315" s="12">
        <v>1</v>
      </c>
      <c r="G315" s="12" t="s">
        <v>40</v>
      </c>
      <c r="H315" s="4"/>
      <c r="I315" s="32">
        <f t="shared" si="4"/>
        <v>0</v>
      </c>
      <c r="J315" s="10" t="s">
        <v>7</v>
      </c>
      <c r="K315" s="12" t="s">
        <v>472</v>
      </c>
      <c r="L315" s="4"/>
      <c r="M315" s="4"/>
    </row>
    <row r="316" spans="1:13" ht="15" customHeight="1" x14ac:dyDescent="0.25">
      <c r="A316" s="7">
        <v>302</v>
      </c>
      <c r="B316" s="11">
        <v>999827002317</v>
      </c>
      <c r="C316" s="2"/>
      <c r="D316" s="14" t="s">
        <v>474</v>
      </c>
      <c r="E316" s="12">
        <f>Table1[[#This Row],[QUANTITY]]-Table1[[#This Row],[CONSUMPTION]]</f>
        <v>10</v>
      </c>
      <c r="F316" s="12">
        <v>10</v>
      </c>
      <c r="G316" s="12" t="s">
        <v>40</v>
      </c>
      <c r="H316" s="10">
        <v>290</v>
      </c>
      <c r="I316" s="32">
        <f t="shared" si="4"/>
        <v>2900</v>
      </c>
      <c r="J316" s="10" t="s">
        <v>10</v>
      </c>
      <c r="K316" s="12" t="s">
        <v>475</v>
      </c>
      <c r="L316" s="10"/>
      <c r="M316" s="10"/>
    </row>
    <row r="317" spans="1:13" ht="15" customHeight="1" x14ac:dyDescent="0.25">
      <c r="A317" s="9">
        <v>303</v>
      </c>
      <c r="B317" s="11">
        <v>999856000248</v>
      </c>
      <c r="C317" s="2"/>
      <c r="D317" s="14" t="s">
        <v>476</v>
      </c>
      <c r="E317" s="12">
        <f>Table1[[#This Row],[QUANTITY]]-Table1[[#This Row],[CONSUMPTION]]</f>
        <v>6</v>
      </c>
      <c r="F317" s="12">
        <v>6</v>
      </c>
      <c r="G317" s="12" t="s">
        <v>40</v>
      </c>
      <c r="H317" s="29">
        <v>1150</v>
      </c>
      <c r="I317" s="32">
        <f t="shared" si="4"/>
        <v>6900</v>
      </c>
      <c r="J317" s="10" t="s">
        <v>10</v>
      </c>
      <c r="K317" s="12" t="s">
        <v>475</v>
      </c>
      <c r="L317" s="10"/>
      <c r="M317" s="10"/>
    </row>
    <row r="318" spans="1:13" ht="15" customHeight="1" x14ac:dyDescent="0.25">
      <c r="A318" s="7">
        <v>304</v>
      </c>
      <c r="B318" s="11">
        <v>999893014356</v>
      </c>
      <c r="C318" s="2"/>
      <c r="D318" s="14" t="s">
        <v>477</v>
      </c>
      <c r="E318" s="12">
        <f>Table1[[#This Row],[QUANTITY]]-Table1[[#This Row],[CONSUMPTION]]</f>
        <v>1</v>
      </c>
      <c r="F318" s="12">
        <v>1</v>
      </c>
      <c r="G318" s="12" t="s">
        <v>40</v>
      </c>
      <c r="H318" s="10">
        <v>909</v>
      </c>
      <c r="I318" s="32">
        <f t="shared" si="4"/>
        <v>909</v>
      </c>
      <c r="J318" s="10" t="s">
        <v>8</v>
      </c>
      <c r="K318" s="12" t="s">
        <v>343</v>
      </c>
      <c r="L318" s="10"/>
      <c r="M318" s="10"/>
    </row>
    <row r="319" spans="1:13" ht="15" customHeight="1" x14ac:dyDescent="0.25">
      <c r="A319" s="9">
        <v>305</v>
      </c>
      <c r="B319" s="11">
        <v>999894005984</v>
      </c>
      <c r="C319" s="2"/>
      <c r="D319" s="14" t="s">
        <v>478</v>
      </c>
      <c r="E319" s="12">
        <f>Table1[[#This Row],[QUANTITY]]-Table1[[#This Row],[CONSUMPTION]]</f>
        <v>2</v>
      </c>
      <c r="F319" s="12">
        <v>2</v>
      </c>
      <c r="G319" s="12" t="s">
        <v>40</v>
      </c>
      <c r="H319" s="10">
        <v>663</v>
      </c>
      <c r="I319" s="32">
        <f t="shared" si="4"/>
        <v>1326</v>
      </c>
      <c r="J319" s="10" t="s">
        <v>14</v>
      </c>
      <c r="K319" s="12" t="s">
        <v>479</v>
      </c>
      <c r="L319" s="10"/>
      <c r="M319" s="10"/>
    </row>
    <row r="320" spans="1:13" ht="15" customHeight="1" x14ac:dyDescent="0.25">
      <c r="A320" s="7">
        <v>306</v>
      </c>
      <c r="B320" s="34"/>
      <c r="C320" s="2">
        <v>100010731743012</v>
      </c>
      <c r="D320" s="14" t="s">
        <v>480</v>
      </c>
      <c r="E320" s="12">
        <f>Table1[[#This Row],[QUANTITY]]-Table1[[#This Row],[CONSUMPTION]]</f>
        <v>0</v>
      </c>
      <c r="F320" s="12">
        <v>1</v>
      </c>
      <c r="G320" s="12" t="s">
        <v>40</v>
      </c>
      <c r="H320" s="10"/>
      <c r="I320" s="32">
        <f t="shared" si="4"/>
        <v>0</v>
      </c>
      <c r="J320" s="10" t="s">
        <v>18</v>
      </c>
      <c r="K320" s="12" t="s">
        <v>481</v>
      </c>
      <c r="L320" s="10">
        <v>1</v>
      </c>
      <c r="M320" s="37">
        <v>45928</v>
      </c>
    </row>
    <row r="321" spans="1:13" ht="15" customHeight="1" x14ac:dyDescent="0.25">
      <c r="A321" s="9">
        <v>307</v>
      </c>
      <c r="B321" s="33"/>
      <c r="C321" s="2"/>
      <c r="D321" s="13" t="s">
        <v>482</v>
      </c>
      <c r="E321" s="12">
        <f>Table1[[#This Row],[QUANTITY]]-Table1[[#This Row],[CONSUMPTION]]</f>
        <v>1</v>
      </c>
      <c r="F321" s="1">
        <v>2</v>
      </c>
      <c r="G321" s="1" t="s">
        <v>40</v>
      </c>
      <c r="H321" s="4"/>
      <c r="I321" s="32">
        <f t="shared" si="4"/>
        <v>0</v>
      </c>
      <c r="J321" s="4" t="s">
        <v>12</v>
      </c>
      <c r="K321" s="1" t="s">
        <v>107</v>
      </c>
      <c r="L321" s="4">
        <v>1</v>
      </c>
      <c r="M321" s="38">
        <v>45928</v>
      </c>
    </row>
    <row r="322" spans="1:13" ht="15" customHeight="1" x14ac:dyDescent="0.25">
      <c r="A322" s="7">
        <v>308</v>
      </c>
      <c r="B322" s="33" t="s">
        <v>483</v>
      </c>
      <c r="C322" s="2"/>
      <c r="D322" s="13" t="s">
        <v>484</v>
      </c>
      <c r="E322" s="12">
        <f>Table1[[#This Row],[QUANTITY]]-Table1[[#This Row],[CONSUMPTION]]</f>
        <v>13</v>
      </c>
      <c r="F322" s="1">
        <v>20</v>
      </c>
      <c r="G322" s="1" t="s">
        <v>365</v>
      </c>
      <c r="H322" s="28">
        <v>1195</v>
      </c>
      <c r="I322" s="32">
        <f t="shared" si="4"/>
        <v>15535</v>
      </c>
      <c r="J322" s="4" t="s">
        <v>10</v>
      </c>
      <c r="K322" s="1" t="s">
        <v>130</v>
      </c>
      <c r="L322" s="4">
        <v>7</v>
      </c>
      <c r="M322" s="4"/>
    </row>
    <row r="323" spans="1:13" ht="15" customHeight="1" x14ac:dyDescent="0.25">
      <c r="A323" s="9">
        <v>309</v>
      </c>
      <c r="B323" s="33"/>
      <c r="C323" s="2"/>
      <c r="D323" s="13" t="s">
        <v>485</v>
      </c>
      <c r="E323" s="12">
        <f>Table1[[#This Row],[QUANTITY]]-Table1[[#This Row],[CONSUMPTION]]</f>
        <v>1</v>
      </c>
      <c r="F323" s="1">
        <v>1</v>
      </c>
      <c r="G323" s="1" t="s">
        <v>365</v>
      </c>
      <c r="H323" s="4"/>
      <c r="I323" s="32">
        <f t="shared" si="4"/>
        <v>0</v>
      </c>
      <c r="J323" s="4" t="s">
        <v>8</v>
      </c>
      <c r="K323" s="1" t="s">
        <v>137</v>
      </c>
      <c r="L323" s="4"/>
      <c r="M323" s="4"/>
    </row>
    <row r="324" spans="1:13" ht="15" customHeight="1" x14ac:dyDescent="0.25">
      <c r="A324" s="7">
        <v>310</v>
      </c>
      <c r="B324" s="33"/>
      <c r="C324" s="2"/>
      <c r="D324" s="13" t="s">
        <v>486</v>
      </c>
      <c r="E324" s="12">
        <f>Table1[[#This Row],[QUANTITY]]-Table1[[#This Row],[CONSUMPTION]]</f>
        <v>1</v>
      </c>
      <c r="F324" s="1">
        <v>1</v>
      </c>
      <c r="G324" s="1" t="s">
        <v>40</v>
      </c>
      <c r="H324" s="4"/>
      <c r="I324" s="32">
        <f t="shared" si="4"/>
        <v>0</v>
      </c>
      <c r="J324" s="4" t="s">
        <v>7</v>
      </c>
      <c r="K324" s="1" t="s">
        <v>472</v>
      </c>
      <c r="L324" s="4"/>
      <c r="M324" s="4"/>
    </row>
    <row r="325" spans="1:13" ht="15" customHeight="1" x14ac:dyDescent="0.25">
      <c r="A325" s="9">
        <v>311</v>
      </c>
      <c r="B325" s="33"/>
      <c r="C325" s="2"/>
      <c r="D325" s="13" t="s">
        <v>487</v>
      </c>
      <c r="E325" s="12">
        <f>Table1[[#This Row],[QUANTITY]]-Table1[[#This Row],[CONSUMPTION]]</f>
        <v>1</v>
      </c>
      <c r="F325" s="1">
        <v>1</v>
      </c>
      <c r="G325" s="1" t="s">
        <v>40</v>
      </c>
      <c r="H325" s="4"/>
      <c r="I325" s="32">
        <f t="shared" si="4"/>
        <v>0</v>
      </c>
      <c r="J325" s="4" t="s">
        <v>7</v>
      </c>
      <c r="K325" s="1" t="s">
        <v>472</v>
      </c>
      <c r="L325" s="4"/>
      <c r="M325" s="4"/>
    </row>
    <row r="326" spans="1:13" ht="15" customHeight="1" x14ac:dyDescent="0.25">
      <c r="A326" s="7">
        <v>312</v>
      </c>
      <c r="B326" s="33"/>
      <c r="C326" s="11"/>
      <c r="D326" s="13" t="s">
        <v>488</v>
      </c>
      <c r="E326" s="12">
        <f>Table1[[#This Row],[QUANTITY]]-Table1[[#This Row],[CONSUMPTION]]</f>
        <v>2</v>
      </c>
      <c r="F326" s="1">
        <v>2</v>
      </c>
      <c r="G326" s="1" t="s">
        <v>40</v>
      </c>
      <c r="H326" s="4"/>
      <c r="I326" s="32">
        <f t="shared" si="4"/>
        <v>0</v>
      </c>
      <c r="J326" s="4" t="s">
        <v>7</v>
      </c>
      <c r="K326" s="1" t="s">
        <v>472</v>
      </c>
      <c r="L326" s="4"/>
      <c r="M326" s="4"/>
    </row>
    <row r="327" spans="1:13" ht="15" customHeight="1" x14ac:dyDescent="0.25">
      <c r="A327" s="7">
        <v>313</v>
      </c>
      <c r="B327" s="34"/>
      <c r="C327" s="11"/>
      <c r="D327" s="14" t="s">
        <v>489</v>
      </c>
      <c r="E327" s="12">
        <f>Table1[[#This Row],[QUANTITY]]-Table1[[#This Row],[CONSUMPTION]]</f>
        <v>1</v>
      </c>
      <c r="F327" s="12">
        <v>1</v>
      </c>
      <c r="G327" s="12" t="s">
        <v>40</v>
      </c>
      <c r="H327" s="10"/>
      <c r="I327" s="32">
        <f t="shared" si="4"/>
        <v>0</v>
      </c>
      <c r="J327" s="10" t="s">
        <v>7</v>
      </c>
      <c r="K327" s="12" t="s">
        <v>472</v>
      </c>
      <c r="L327" s="10"/>
      <c r="M327" s="10"/>
    </row>
    <row r="328" spans="1:13" ht="15" customHeight="1" x14ac:dyDescent="0.25">
      <c r="A328" s="7">
        <v>314</v>
      </c>
      <c r="B328" s="34"/>
      <c r="C328" s="11"/>
      <c r="D328" s="39" t="s">
        <v>490</v>
      </c>
      <c r="E328" s="12">
        <f>Table1[[#This Row],[QUANTITY]]-Table1[[#This Row],[CONSUMPTION]]</f>
        <v>1</v>
      </c>
      <c r="F328" s="12">
        <v>1</v>
      </c>
      <c r="G328" s="12" t="s">
        <v>40</v>
      </c>
      <c r="H328" s="10"/>
      <c r="I328" s="32">
        <f t="shared" si="4"/>
        <v>0</v>
      </c>
      <c r="J328" s="10" t="s">
        <v>7</v>
      </c>
      <c r="K328" s="12" t="s">
        <v>472</v>
      </c>
      <c r="L328" s="10"/>
      <c r="M328" s="10"/>
    </row>
    <row r="329" spans="1:13" ht="15" customHeight="1" x14ac:dyDescent="0.25">
      <c r="A329" s="9">
        <v>315</v>
      </c>
      <c r="B329" s="34"/>
      <c r="C329" s="11"/>
      <c r="D329" s="14" t="s">
        <v>491</v>
      </c>
      <c r="E329" s="12">
        <f>Table1[[#This Row],[QUANTITY]]-Table1[[#This Row],[CONSUMPTION]]</f>
        <v>1</v>
      </c>
      <c r="F329" s="12">
        <v>1</v>
      </c>
      <c r="G329" s="12" t="s">
        <v>365</v>
      </c>
      <c r="H329" s="10"/>
      <c r="I329" s="32">
        <f t="shared" si="4"/>
        <v>0</v>
      </c>
      <c r="J329" s="10" t="s">
        <v>7</v>
      </c>
      <c r="K329" s="12" t="s">
        <v>472</v>
      </c>
      <c r="L329" s="10"/>
      <c r="M329" s="10"/>
    </row>
    <row r="330" spans="1:13" ht="15" customHeight="1" x14ac:dyDescent="0.25">
      <c r="A330" s="7">
        <v>316</v>
      </c>
      <c r="B330" s="34"/>
      <c r="C330" s="11"/>
      <c r="D330" s="14" t="s">
        <v>492</v>
      </c>
      <c r="E330" s="12">
        <f>Table1[[#This Row],[QUANTITY]]-Table1[[#This Row],[CONSUMPTION]]</f>
        <v>1</v>
      </c>
      <c r="F330" s="12">
        <v>1</v>
      </c>
      <c r="G330" s="12" t="s">
        <v>40</v>
      </c>
      <c r="H330" s="10"/>
      <c r="I330" s="32">
        <f t="shared" si="4"/>
        <v>0</v>
      </c>
      <c r="J330" s="10" t="s">
        <v>7</v>
      </c>
      <c r="K330" s="12" t="s">
        <v>472</v>
      </c>
      <c r="L330" s="10"/>
      <c r="M330" s="10"/>
    </row>
    <row r="331" spans="1:13" ht="15" customHeight="1" x14ac:dyDescent="0.25">
      <c r="A331" s="7">
        <v>317</v>
      </c>
      <c r="B331" s="34"/>
      <c r="C331" s="11"/>
      <c r="D331" s="14" t="s">
        <v>493</v>
      </c>
      <c r="E331" s="12">
        <f>Table1[[#This Row],[QUANTITY]]-Table1[[#This Row],[CONSUMPTION]]</f>
        <v>1</v>
      </c>
      <c r="F331" s="12">
        <v>1</v>
      </c>
      <c r="G331" s="12" t="s">
        <v>365</v>
      </c>
      <c r="H331" s="10"/>
      <c r="I331" s="32">
        <f t="shared" si="4"/>
        <v>0</v>
      </c>
      <c r="J331" s="10" t="s">
        <v>7</v>
      </c>
      <c r="K331" s="12" t="s">
        <v>472</v>
      </c>
      <c r="L331" s="10"/>
      <c r="M331" s="10"/>
    </row>
    <row r="332" spans="1:13" ht="15" customHeight="1" x14ac:dyDescent="0.25">
      <c r="A332" s="7">
        <v>318</v>
      </c>
      <c r="B332" s="34"/>
      <c r="C332" s="11"/>
      <c r="D332" s="14" t="s">
        <v>494</v>
      </c>
      <c r="E332" s="12">
        <f>Table1[[#This Row],[QUANTITY]]-Table1[[#This Row],[CONSUMPTION]]</f>
        <v>1</v>
      </c>
      <c r="F332" s="12">
        <v>1</v>
      </c>
      <c r="G332" s="12" t="s">
        <v>40</v>
      </c>
      <c r="H332" s="10"/>
      <c r="I332" s="32">
        <f t="shared" si="4"/>
        <v>0</v>
      </c>
      <c r="J332" s="10" t="s">
        <v>7</v>
      </c>
      <c r="K332" s="12" t="s">
        <v>472</v>
      </c>
      <c r="L332" s="10"/>
      <c r="M332" s="10"/>
    </row>
    <row r="333" spans="1:13" ht="15" customHeight="1" x14ac:dyDescent="0.25">
      <c r="A333" s="9">
        <v>319</v>
      </c>
      <c r="B333" s="34"/>
      <c r="C333" s="11"/>
      <c r="D333" s="14" t="s">
        <v>495</v>
      </c>
      <c r="E333" s="12">
        <f>Table1[[#This Row],[QUANTITY]]-Table1[[#This Row],[CONSUMPTION]]</f>
        <v>2</v>
      </c>
      <c r="F333" s="12">
        <v>2</v>
      </c>
      <c r="G333" s="12" t="s">
        <v>365</v>
      </c>
      <c r="H333" s="10"/>
      <c r="I333" s="32">
        <f t="shared" si="4"/>
        <v>0</v>
      </c>
      <c r="J333" s="10" t="s">
        <v>10</v>
      </c>
      <c r="K333" s="12" t="s">
        <v>472</v>
      </c>
      <c r="L333" s="10"/>
      <c r="M333" s="10"/>
    </row>
    <row r="334" spans="1:13" ht="15" customHeight="1" x14ac:dyDescent="0.25">
      <c r="A334" s="7">
        <v>320</v>
      </c>
      <c r="B334" s="34"/>
      <c r="C334" s="11"/>
      <c r="D334" s="14" t="s">
        <v>496</v>
      </c>
      <c r="E334" s="12">
        <f>Table1[[#This Row],[QUANTITY]]-Table1[[#This Row],[CONSUMPTION]]</f>
        <v>1</v>
      </c>
      <c r="F334" s="12">
        <v>1</v>
      </c>
      <c r="G334" s="12" t="s">
        <v>365</v>
      </c>
      <c r="H334" s="10"/>
      <c r="I334" s="32">
        <f t="shared" si="4"/>
        <v>0</v>
      </c>
      <c r="J334" s="10" t="s">
        <v>10</v>
      </c>
      <c r="K334" s="12" t="s">
        <v>472</v>
      </c>
      <c r="L334" s="10"/>
      <c r="M334" s="10"/>
    </row>
    <row r="335" spans="1:13" ht="15" customHeight="1" x14ac:dyDescent="0.25">
      <c r="A335" s="7">
        <v>321</v>
      </c>
      <c r="B335" s="11">
        <v>251725040049</v>
      </c>
      <c r="C335" s="11"/>
      <c r="D335" s="46" t="s">
        <v>497</v>
      </c>
      <c r="E335" s="12">
        <f>Table1[[#This Row],[QUANTITY]]-Table1[[#This Row],[CONSUMPTION]]</f>
        <v>2</v>
      </c>
      <c r="F335" s="12">
        <v>3</v>
      </c>
      <c r="G335" s="12" t="s">
        <v>40</v>
      </c>
      <c r="H335" s="29">
        <v>27498</v>
      </c>
      <c r="I335" s="32">
        <f t="shared" ref="I335:I398" si="5">H335*E335</f>
        <v>54996</v>
      </c>
      <c r="J335" s="10" t="s">
        <v>9</v>
      </c>
      <c r="K335" s="12" t="s">
        <v>498</v>
      </c>
      <c r="L335" s="10">
        <v>1</v>
      </c>
      <c r="M335" s="37">
        <v>45929</v>
      </c>
    </row>
    <row r="336" spans="1:13" ht="15" customHeight="1" x14ac:dyDescent="0.25">
      <c r="A336" s="7">
        <v>322</v>
      </c>
      <c r="B336" s="11">
        <v>251725000758</v>
      </c>
      <c r="C336" s="11"/>
      <c r="D336" s="46" t="s">
        <v>499</v>
      </c>
      <c r="E336" s="12">
        <f>Table1[[#This Row],[QUANTITY]]-Table1[[#This Row],[CONSUMPTION]]</f>
        <v>2</v>
      </c>
      <c r="F336" s="12">
        <v>3</v>
      </c>
      <c r="G336" s="12" t="s">
        <v>40</v>
      </c>
      <c r="H336" s="29">
        <v>2390</v>
      </c>
      <c r="I336" s="32">
        <f t="shared" si="5"/>
        <v>4780</v>
      </c>
      <c r="J336" s="10" t="s">
        <v>9</v>
      </c>
      <c r="K336" s="12" t="s">
        <v>498</v>
      </c>
      <c r="L336" s="10">
        <v>1</v>
      </c>
      <c r="M336" s="37">
        <v>45929</v>
      </c>
    </row>
    <row r="337" spans="1:13" ht="15" customHeight="1" x14ac:dyDescent="0.25">
      <c r="A337" s="9">
        <v>323</v>
      </c>
      <c r="B337" s="34"/>
      <c r="C337" s="11"/>
      <c r="D337" s="14" t="s">
        <v>500</v>
      </c>
      <c r="E337" s="12">
        <f>Table1[[#This Row],[QUANTITY]]-Table1[[#This Row],[CONSUMPTION]]</f>
        <v>0</v>
      </c>
      <c r="F337" s="12">
        <v>10</v>
      </c>
      <c r="G337" s="12" t="s">
        <v>501</v>
      </c>
      <c r="H337" s="10"/>
      <c r="I337" s="32">
        <f t="shared" si="5"/>
        <v>0</v>
      </c>
      <c r="J337" s="10" t="s">
        <v>12</v>
      </c>
      <c r="K337" s="12" t="s">
        <v>481</v>
      </c>
      <c r="L337" s="10">
        <v>10</v>
      </c>
      <c r="M337" s="10" t="s">
        <v>502</v>
      </c>
    </row>
    <row r="338" spans="1:13" ht="15" customHeight="1" x14ac:dyDescent="0.25">
      <c r="A338" s="7">
        <v>324</v>
      </c>
      <c r="B338" s="34"/>
      <c r="C338" s="11"/>
      <c r="D338" s="14" t="s">
        <v>503</v>
      </c>
      <c r="E338" s="12">
        <f>Table1[[#This Row],[QUANTITY]]-Table1[[#This Row],[CONSUMPTION]]</f>
        <v>10</v>
      </c>
      <c r="F338" s="12">
        <v>10</v>
      </c>
      <c r="G338" s="12" t="s">
        <v>501</v>
      </c>
      <c r="H338" s="10"/>
      <c r="I338" s="32">
        <f t="shared" si="5"/>
        <v>0</v>
      </c>
      <c r="J338" s="10" t="s">
        <v>12</v>
      </c>
      <c r="K338" s="12" t="s">
        <v>481</v>
      </c>
      <c r="L338" s="10"/>
      <c r="M338" s="10"/>
    </row>
    <row r="339" spans="1:13" ht="15" customHeight="1" x14ac:dyDescent="0.25">
      <c r="A339" s="7">
        <v>325</v>
      </c>
      <c r="B339" s="34"/>
      <c r="C339" s="11"/>
      <c r="D339" s="14" t="s">
        <v>504</v>
      </c>
      <c r="E339" s="12">
        <f>Table1[[#This Row],[QUANTITY]]-Table1[[#This Row],[CONSUMPTION]]</f>
        <v>10</v>
      </c>
      <c r="F339" s="12">
        <v>10</v>
      </c>
      <c r="G339" s="12" t="s">
        <v>501</v>
      </c>
      <c r="H339" s="10"/>
      <c r="I339" s="32">
        <f t="shared" si="5"/>
        <v>0</v>
      </c>
      <c r="J339" s="10" t="s">
        <v>12</v>
      </c>
      <c r="K339" s="12" t="s">
        <v>481</v>
      </c>
      <c r="L339" s="10"/>
      <c r="M339" s="10"/>
    </row>
    <row r="340" spans="1:13" ht="15" customHeight="1" x14ac:dyDescent="0.25">
      <c r="A340" s="7">
        <v>326</v>
      </c>
      <c r="B340" s="34"/>
      <c r="C340" s="11"/>
      <c r="D340" s="14" t="s">
        <v>505</v>
      </c>
      <c r="E340" s="12">
        <f>Table1[[#This Row],[QUANTITY]]-Table1[[#This Row],[CONSUMPTION]]</f>
        <v>1</v>
      </c>
      <c r="F340" s="12">
        <v>6</v>
      </c>
      <c r="G340" s="12" t="s">
        <v>365</v>
      </c>
      <c r="H340" s="10"/>
      <c r="I340" s="32">
        <f t="shared" si="5"/>
        <v>0</v>
      </c>
      <c r="J340" s="10" t="s">
        <v>14</v>
      </c>
      <c r="K340" s="12" t="s">
        <v>479</v>
      </c>
      <c r="L340" s="10">
        <v>5</v>
      </c>
      <c r="M340" s="10" t="s">
        <v>506</v>
      </c>
    </row>
    <row r="341" spans="1:13" ht="15" customHeight="1" x14ac:dyDescent="0.25">
      <c r="A341" s="9">
        <v>327</v>
      </c>
      <c r="B341" s="34"/>
      <c r="C341" s="11"/>
      <c r="D341" s="14" t="s">
        <v>507</v>
      </c>
      <c r="E341" s="12">
        <f>Table1[[#This Row],[QUANTITY]]-Table1[[#This Row],[CONSUMPTION]]</f>
        <v>1</v>
      </c>
      <c r="F341" s="12">
        <v>2</v>
      </c>
      <c r="G341" s="12" t="s">
        <v>365</v>
      </c>
      <c r="H341" s="10"/>
      <c r="I341" s="32">
        <f t="shared" si="5"/>
        <v>0</v>
      </c>
      <c r="J341" s="10" t="s">
        <v>14</v>
      </c>
      <c r="K341" s="12" t="s">
        <v>479</v>
      </c>
      <c r="L341" s="10">
        <v>1</v>
      </c>
      <c r="M341" s="10" t="s">
        <v>508</v>
      </c>
    </row>
    <row r="342" spans="1:13" ht="15" customHeight="1" x14ac:dyDescent="0.25">
      <c r="A342" s="7">
        <v>328</v>
      </c>
      <c r="B342" s="33"/>
      <c r="C342" s="2"/>
      <c r="D342" s="13" t="s">
        <v>509</v>
      </c>
      <c r="E342" s="1">
        <f>Table1[[#This Row],[QUANTITY]]-Table1[[#This Row],[CONSUMPTION]]</f>
        <v>3</v>
      </c>
      <c r="F342" s="1">
        <v>3</v>
      </c>
      <c r="G342" s="1" t="s">
        <v>365</v>
      </c>
      <c r="H342" s="4"/>
      <c r="I342" s="32">
        <f t="shared" si="5"/>
        <v>0</v>
      </c>
      <c r="J342" s="4" t="s">
        <v>14</v>
      </c>
      <c r="K342" s="1" t="s">
        <v>479</v>
      </c>
      <c r="L342" s="4"/>
      <c r="M342" s="4"/>
    </row>
    <row r="343" spans="1:13" ht="15" customHeight="1" x14ac:dyDescent="0.25">
      <c r="A343" s="9">
        <v>329</v>
      </c>
      <c r="B343" s="34"/>
      <c r="C343" s="11"/>
      <c r="D343" s="14" t="s">
        <v>510</v>
      </c>
      <c r="E343" s="40">
        <f>Table1[[#This Row],[QUANTITY]]-Table1[[#This Row],[CONSUMPTION]]</f>
        <v>3</v>
      </c>
      <c r="F343" s="12">
        <v>3</v>
      </c>
      <c r="G343" s="12" t="s">
        <v>40</v>
      </c>
      <c r="H343" s="10"/>
      <c r="I343" s="32">
        <f t="shared" si="5"/>
        <v>0</v>
      </c>
      <c r="J343" s="10" t="s">
        <v>14</v>
      </c>
      <c r="K343" s="12" t="s">
        <v>479</v>
      </c>
      <c r="L343" s="10"/>
      <c r="M343" s="4"/>
    </row>
    <row r="344" spans="1:13" ht="15" customHeight="1" x14ac:dyDescent="0.25">
      <c r="A344" s="9">
        <v>330</v>
      </c>
      <c r="B344" s="34"/>
      <c r="C344" s="11"/>
      <c r="D344" s="14" t="s">
        <v>511</v>
      </c>
      <c r="E344" s="12">
        <f>Table1[[#This Row],[QUANTITY]]-Table1[[#This Row],[CONSUMPTION]]</f>
        <v>1</v>
      </c>
      <c r="F344" s="12">
        <v>1</v>
      </c>
      <c r="G344" s="12" t="s">
        <v>365</v>
      </c>
      <c r="H344" s="10"/>
      <c r="I344" s="32">
        <f t="shared" si="5"/>
        <v>0</v>
      </c>
      <c r="J344" s="10" t="s">
        <v>7</v>
      </c>
      <c r="K344" s="12" t="s">
        <v>479</v>
      </c>
      <c r="L344" s="10"/>
      <c r="M344" s="10"/>
    </row>
    <row r="345" spans="1:13" ht="15" customHeight="1" x14ac:dyDescent="0.25">
      <c r="A345" s="7">
        <v>331</v>
      </c>
      <c r="B345" s="34"/>
      <c r="C345" s="11"/>
      <c r="D345" s="14" t="s">
        <v>512</v>
      </c>
      <c r="E345" s="12">
        <f>Table1[[#This Row],[QUANTITY]]-Table1[[#This Row],[CONSUMPTION]]</f>
        <v>1</v>
      </c>
      <c r="F345" s="12">
        <v>1</v>
      </c>
      <c r="G345" s="12" t="s">
        <v>365</v>
      </c>
      <c r="H345" s="10"/>
      <c r="I345" s="32">
        <f t="shared" si="5"/>
        <v>0</v>
      </c>
      <c r="J345" s="10" t="s">
        <v>7</v>
      </c>
      <c r="K345" s="12" t="s">
        <v>479</v>
      </c>
      <c r="L345" s="10"/>
      <c r="M345" s="10"/>
    </row>
    <row r="346" spans="1:13" ht="15" customHeight="1" x14ac:dyDescent="0.25">
      <c r="A346" s="9">
        <v>332</v>
      </c>
      <c r="B346" s="34"/>
      <c r="C346" s="11"/>
      <c r="D346" s="14" t="s">
        <v>513</v>
      </c>
      <c r="E346" s="12">
        <f>Table1[[#This Row],[QUANTITY]]-Table1[[#This Row],[CONSUMPTION]]</f>
        <v>1</v>
      </c>
      <c r="F346" s="12">
        <v>1</v>
      </c>
      <c r="G346" s="12" t="s">
        <v>365</v>
      </c>
      <c r="H346" s="10"/>
      <c r="I346" s="32">
        <f t="shared" si="5"/>
        <v>0</v>
      </c>
      <c r="J346" s="10" t="s">
        <v>7</v>
      </c>
      <c r="K346" s="12" t="s">
        <v>479</v>
      </c>
      <c r="L346" s="10"/>
      <c r="M346" s="10"/>
    </row>
    <row r="347" spans="1:13" ht="15" customHeight="1" x14ac:dyDescent="0.25">
      <c r="A347" s="9">
        <v>333</v>
      </c>
      <c r="B347" s="34"/>
      <c r="C347" s="11"/>
      <c r="D347" s="14" t="s">
        <v>514</v>
      </c>
      <c r="E347" s="12">
        <f>Table1[[#This Row],[QUANTITY]]-Table1[[#This Row],[CONSUMPTION]]</f>
        <v>1</v>
      </c>
      <c r="F347" s="12">
        <v>1</v>
      </c>
      <c r="G347" s="12" t="s">
        <v>40</v>
      </c>
      <c r="H347" s="10"/>
      <c r="I347" s="32">
        <f t="shared" si="5"/>
        <v>0</v>
      </c>
      <c r="J347" s="10" t="s">
        <v>7</v>
      </c>
      <c r="K347" s="12" t="s">
        <v>479</v>
      </c>
      <c r="L347" s="10"/>
      <c r="M347" s="10"/>
    </row>
    <row r="348" spans="1:13" ht="15" customHeight="1" x14ac:dyDescent="0.25">
      <c r="A348" s="7">
        <v>334</v>
      </c>
      <c r="B348" s="34"/>
      <c r="C348" s="11"/>
      <c r="D348" s="14" t="s">
        <v>515</v>
      </c>
      <c r="E348" s="12">
        <f>Table1[[#This Row],[QUANTITY]]-Table1[[#This Row],[CONSUMPTION]]</f>
        <v>2</v>
      </c>
      <c r="F348" s="12">
        <v>2</v>
      </c>
      <c r="G348" s="12" t="s">
        <v>40</v>
      </c>
      <c r="H348" s="10"/>
      <c r="I348" s="32">
        <f t="shared" si="5"/>
        <v>0</v>
      </c>
      <c r="J348" s="10" t="s">
        <v>7</v>
      </c>
      <c r="K348" s="12" t="s">
        <v>479</v>
      </c>
      <c r="L348" s="10"/>
      <c r="M348" s="10"/>
    </row>
    <row r="349" spans="1:13" ht="15" customHeight="1" x14ac:dyDescent="0.25">
      <c r="A349" s="9">
        <v>335</v>
      </c>
      <c r="B349" s="34"/>
      <c r="C349" s="11"/>
      <c r="D349" s="14" t="s">
        <v>516</v>
      </c>
      <c r="E349" s="12">
        <f>Table1[[#This Row],[QUANTITY]]-Table1[[#This Row],[CONSUMPTION]]</f>
        <v>1</v>
      </c>
      <c r="F349" s="12">
        <v>1</v>
      </c>
      <c r="G349" s="12" t="s">
        <v>40</v>
      </c>
      <c r="H349" s="10"/>
      <c r="I349" s="32">
        <f t="shared" si="5"/>
        <v>0</v>
      </c>
      <c r="J349" s="10" t="s">
        <v>7</v>
      </c>
      <c r="K349" s="12" t="s">
        <v>479</v>
      </c>
      <c r="L349" s="10"/>
      <c r="M349" s="10"/>
    </row>
    <row r="350" spans="1:13" ht="15" customHeight="1" x14ac:dyDescent="0.25">
      <c r="A350" s="9">
        <v>336</v>
      </c>
      <c r="B350" s="34"/>
      <c r="C350" s="11"/>
      <c r="D350" s="14" t="s">
        <v>517</v>
      </c>
      <c r="E350" s="12">
        <f>Table1[[#This Row],[QUANTITY]]-Table1[[#This Row],[CONSUMPTION]]</f>
        <v>1</v>
      </c>
      <c r="F350" s="12">
        <v>1</v>
      </c>
      <c r="G350" s="12" t="s">
        <v>40</v>
      </c>
      <c r="H350" s="10"/>
      <c r="I350" s="32">
        <f t="shared" si="5"/>
        <v>0</v>
      </c>
      <c r="J350" s="10" t="s">
        <v>7</v>
      </c>
      <c r="K350" s="12" t="s">
        <v>479</v>
      </c>
      <c r="L350" s="10"/>
      <c r="M350" s="10"/>
    </row>
    <row r="351" spans="1:13" ht="15" customHeight="1" x14ac:dyDescent="0.25">
      <c r="A351" s="7">
        <v>337</v>
      </c>
      <c r="B351" s="34"/>
      <c r="C351" s="11"/>
      <c r="D351" s="14" t="s">
        <v>518</v>
      </c>
      <c r="E351" s="12">
        <f>Table1[[#This Row],[QUANTITY]]-Table1[[#This Row],[CONSUMPTION]]</f>
        <v>1</v>
      </c>
      <c r="F351" s="12">
        <v>1</v>
      </c>
      <c r="G351" s="12" t="s">
        <v>40</v>
      </c>
      <c r="H351" s="10"/>
      <c r="I351" s="32">
        <f t="shared" si="5"/>
        <v>0</v>
      </c>
      <c r="J351" s="10" t="s">
        <v>14</v>
      </c>
      <c r="K351" s="12" t="s">
        <v>479</v>
      </c>
      <c r="L351" s="10"/>
      <c r="M351" s="10"/>
    </row>
    <row r="352" spans="1:13" ht="15" customHeight="1" x14ac:dyDescent="0.25">
      <c r="A352" s="9">
        <v>338</v>
      </c>
      <c r="B352" s="34"/>
      <c r="C352" s="11"/>
      <c r="D352" s="14" t="s">
        <v>519</v>
      </c>
      <c r="E352" s="12">
        <f>Table1[[#This Row],[QUANTITY]]-Table1[[#This Row],[CONSUMPTION]]</f>
        <v>1</v>
      </c>
      <c r="F352" s="12">
        <v>1</v>
      </c>
      <c r="G352" s="12" t="s">
        <v>40</v>
      </c>
      <c r="H352" s="10"/>
      <c r="I352" s="32">
        <f t="shared" si="5"/>
        <v>0</v>
      </c>
      <c r="J352" s="10" t="s">
        <v>14</v>
      </c>
      <c r="K352" s="12" t="s">
        <v>479</v>
      </c>
      <c r="L352" s="10"/>
      <c r="M352" s="10"/>
    </row>
    <row r="353" spans="1:13" ht="15" customHeight="1" x14ac:dyDescent="0.25">
      <c r="A353" s="9">
        <v>339</v>
      </c>
      <c r="B353" s="34"/>
      <c r="C353" s="11"/>
      <c r="D353" s="14" t="s">
        <v>520</v>
      </c>
      <c r="E353" s="12">
        <f>Table1[[#This Row],[QUANTITY]]-Table1[[#This Row],[CONSUMPTION]]</f>
        <v>1</v>
      </c>
      <c r="F353" s="12">
        <v>1</v>
      </c>
      <c r="G353" s="12" t="s">
        <v>40</v>
      </c>
      <c r="H353" s="10"/>
      <c r="I353" s="32">
        <f t="shared" si="5"/>
        <v>0</v>
      </c>
      <c r="J353" s="10" t="s">
        <v>14</v>
      </c>
      <c r="K353" s="12" t="s">
        <v>479</v>
      </c>
      <c r="L353" s="10"/>
      <c r="M353" s="10"/>
    </row>
    <row r="354" spans="1:13" ht="15" customHeight="1" x14ac:dyDescent="0.25">
      <c r="A354" s="7">
        <v>340</v>
      </c>
      <c r="B354" s="34"/>
      <c r="C354" s="11"/>
      <c r="D354" s="14" t="s">
        <v>521</v>
      </c>
      <c r="E354" s="12">
        <f>Table1[[#This Row],[QUANTITY]]-Table1[[#This Row],[CONSUMPTION]]</f>
        <v>1</v>
      </c>
      <c r="F354" s="12">
        <v>1</v>
      </c>
      <c r="G354" s="12" t="s">
        <v>40</v>
      </c>
      <c r="H354" s="10"/>
      <c r="I354" s="32">
        <f t="shared" si="5"/>
        <v>0</v>
      </c>
      <c r="J354" s="10" t="s">
        <v>14</v>
      </c>
      <c r="K354" s="12" t="s">
        <v>479</v>
      </c>
      <c r="L354" s="10"/>
      <c r="M354" s="10"/>
    </row>
    <row r="355" spans="1:13" ht="15" customHeight="1" x14ac:dyDescent="0.25">
      <c r="A355" s="9">
        <v>341</v>
      </c>
      <c r="B355" s="34"/>
      <c r="C355" s="11"/>
      <c r="D355" s="14" t="s">
        <v>522</v>
      </c>
      <c r="E355" s="12">
        <f>Table1[[#This Row],[QUANTITY]]-Table1[[#This Row],[CONSUMPTION]]</f>
        <v>1</v>
      </c>
      <c r="F355" s="12">
        <v>1</v>
      </c>
      <c r="G355" s="12" t="s">
        <v>40</v>
      </c>
      <c r="H355" s="10"/>
      <c r="I355" s="32">
        <f t="shared" si="5"/>
        <v>0</v>
      </c>
      <c r="J355" s="10" t="s">
        <v>14</v>
      </c>
      <c r="K355" s="12" t="s">
        <v>479</v>
      </c>
      <c r="L355" s="10"/>
      <c r="M355" s="10"/>
    </row>
    <row r="356" spans="1:13" ht="15" customHeight="1" x14ac:dyDescent="0.25">
      <c r="A356" s="9">
        <v>342</v>
      </c>
      <c r="B356" s="34"/>
      <c r="C356" s="11"/>
      <c r="D356" s="14" t="s">
        <v>523</v>
      </c>
      <c r="E356" s="12">
        <f>Table1[[#This Row],[QUANTITY]]-Table1[[#This Row],[CONSUMPTION]]</f>
        <v>1</v>
      </c>
      <c r="F356" s="12">
        <v>1</v>
      </c>
      <c r="G356" s="12" t="s">
        <v>40</v>
      </c>
      <c r="H356" s="10"/>
      <c r="I356" s="32">
        <f t="shared" si="5"/>
        <v>0</v>
      </c>
      <c r="J356" s="10" t="s">
        <v>14</v>
      </c>
      <c r="K356" s="12" t="s">
        <v>479</v>
      </c>
      <c r="L356" s="10"/>
      <c r="M356" s="10"/>
    </row>
    <row r="357" spans="1:13" ht="15" customHeight="1" x14ac:dyDescent="0.25">
      <c r="A357" s="7">
        <v>343</v>
      </c>
      <c r="B357" s="34"/>
      <c r="C357" s="11"/>
      <c r="D357" s="14" t="s">
        <v>524</v>
      </c>
      <c r="E357" s="12">
        <f>Table1[[#This Row],[QUANTITY]]-Table1[[#This Row],[CONSUMPTION]]</f>
        <v>1</v>
      </c>
      <c r="F357" s="12">
        <v>1</v>
      </c>
      <c r="G357" s="12" t="s">
        <v>40</v>
      </c>
      <c r="H357" s="10"/>
      <c r="I357" s="32">
        <f t="shared" si="5"/>
        <v>0</v>
      </c>
      <c r="J357" s="10" t="s">
        <v>14</v>
      </c>
      <c r="K357" s="12" t="s">
        <v>479</v>
      </c>
      <c r="L357" s="10"/>
      <c r="M357" s="10"/>
    </row>
    <row r="358" spans="1:13" ht="15" customHeight="1" x14ac:dyDescent="0.25">
      <c r="A358" s="9">
        <v>344</v>
      </c>
      <c r="B358" s="34"/>
      <c r="C358" s="11"/>
      <c r="D358" s="14" t="s">
        <v>525</v>
      </c>
      <c r="E358" s="12">
        <f>Table1[[#This Row],[QUANTITY]]-Table1[[#This Row],[CONSUMPTION]]</f>
        <v>2</v>
      </c>
      <c r="F358" s="12">
        <v>2</v>
      </c>
      <c r="G358" s="12" t="s">
        <v>40</v>
      </c>
      <c r="H358" s="10"/>
      <c r="I358" s="32">
        <f t="shared" si="5"/>
        <v>0</v>
      </c>
      <c r="J358" s="10" t="s">
        <v>14</v>
      </c>
      <c r="K358" s="12" t="s">
        <v>479</v>
      </c>
      <c r="L358" s="10"/>
      <c r="M358" s="10"/>
    </row>
    <row r="359" spans="1:13" ht="15" customHeight="1" x14ac:dyDescent="0.25">
      <c r="A359" s="9">
        <v>345</v>
      </c>
      <c r="B359" s="34"/>
      <c r="C359" s="11"/>
      <c r="D359" s="14" t="s">
        <v>526</v>
      </c>
      <c r="E359" s="12">
        <f>Table1[[#This Row],[QUANTITY]]-Table1[[#This Row],[CONSUMPTION]]</f>
        <v>1</v>
      </c>
      <c r="F359" s="12">
        <v>1</v>
      </c>
      <c r="G359" s="12" t="s">
        <v>40</v>
      </c>
      <c r="H359" s="10"/>
      <c r="I359" s="32">
        <f t="shared" si="5"/>
        <v>0</v>
      </c>
      <c r="J359" s="10" t="s">
        <v>14</v>
      </c>
      <c r="K359" s="12" t="s">
        <v>479</v>
      </c>
      <c r="L359" s="10"/>
      <c r="M359" s="10"/>
    </row>
    <row r="360" spans="1:13" ht="15" customHeight="1" x14ac:dyDescent="0.25">
      <c r="A360" s="9">
        <v>346</v>
      </c>
      <c r="B360" s="34"/>
      <c r="C360" s="11"/>
      <c r="D360" s="14" t="s">
        <v>527</v>
      </c>
      <c r="E360" s="12">
        <f>Table1[[#This Row],[QUANTITY]]-Table1[[#This Row],[CONSUMPTION]]</f>
        <v>1</v>
      </c>
      <c r="F360" s="12">
        <v>1</v>
      </c>
      <c r="G360" s="12" t="s">
        <v>40</v>
      </c>
      <c r="H360" s="10"/>
      <c r="I360" s="32">
        <f t="shared" si="5"/>
        <v>0</v>
      </c>
      <c r="J360" s="10" t="s">
        <v>14</v>
      </c>
      <c r="K360" s="12" t="s">
        <v>479</v>
      </c>
      <c r="L360" s="10"/>
      <c r="M360" s="10"/>
    </row>
    <row r="361" spans="1:13" ht="15" customHeight="1" x14ac:dyDescent="0.25">
      <c r="A361" s="7">
        <v>347</v>
      </c>
      <c r="B361" s="34"/>
      <c r="C361" s="11"/>
      <c r="D361" s="14" t="s">
        <v>528</v>
      </c>
      <c r="E361" s="12">
        <f>Table1[[#This Row],[QUANTITY]]-Table1[[#This Row],[CONSUMPTION]]</f>
        <v>1</v>
      </c>
      <c r="F361" s="12">
        <v>1</v>
      </c>
      <c r="G361" s="12" t="s">
        <v>40</v>
      </c>
      <c r="H361" s="10"/>
      <c r="I361" s="32">
        <f t="shared" si="5"/>
        <v>0</v>
      </c>
      <c r="J361" s="10" t="s">
        <v>14</v>
      </c>
      <c r="K361" s="12" t="s">
        <v>479</v>
      </c>
      <c r="L361" s="10"/>
      <c r="M361" s="10"/>
    </row>
    <row r="362" spans="1:13" ht="15" customHeight="1" x14ac:dyDescent="0.25">
      <c r="A362" s="9">
        <v>348</v>
      </c>
      <c r="B362" s="34"/>
      <c r="C362" s="11"/>
      <c r="D362" s="14" t="s">
        <v>529</v>
      </c>
      <c r="E362" s="12">
        <f>Table1[[#This Row],[QUANTITY]]-Table1[[#This Row],[CONSUMPTION]]</f>
        <v>2</v>
      </c>
      <c r="F362" s="12">
        <v>2</v>
      </c>
      <c r="G362" s="12" t="s">
        <v>40</v>
      </c>
      <c r="H362" s="10"/>
      <c r="I362" s="32">
        <f t="shared" si="5"/>
        <v>0</v>
      </c>
      <c r="J362" s="10" t="s">
        <v>14</v>
      </c>
      <c r="K362" s="12" t="s">
        <v>479</v>
      </c>
      <c r="L362" s="10"/>
      <c r="M362" s="10"/>
    </row>
    <row r="363" spans="1:13" ht="15" customHeight="1" x14ac:dyDescent="0.25">
      <c r="A363" s="9">
        <v>349</v>
      </c>
      <c r="B363" s="34"/>
      <c r="C363" s="11"/>
      <c r="D363" s="14" t="s">
        <v>530</v>
      </c>
      <c r="E363" s="12">
        <f>Table1[[#This Row],[QUANTITY]]-Table1[[#This Row],[CONSUMPTION]]</f>
        <v>1</v>
      </c>
      <c r="F363" s="12">
        <v>1</v>
      </c>
      <c r="G363" s="12" t="s">
        <v>40</v>
      </c>
      <c r="H363" s="10"/>
      <c r="I363" s="32">
        <f t="shared" si="5"/>
        <v>0</v>
      </c>
      <c r="J363" s="10" t="s">
        <v>14</v>
      </c>
      <c r="K363" s="12" t="s">
        <v>479</v>
      </c>
      <c r="L363" s="10"/>
      <c r="M363" s="10"/>
    </row>
    <row r="364" spans="1:13" ht="15" customHeight="1" x14ac:dyDescent="0.25">
      <c r="A364" s="9">
        <v>350</v>
      </c>
      <c r="B364" s="34"/>
      <c r="C364" s="11"/>
      <c r="D364" s="14" t="s">
        <v>531</v>
      </c>
      <c r="E364" s="12">
        <f>Table1[[#This Row],[QUANTITY]]-Table1[[#This Row],[CONSUMPTION]]</f>
        <v>1</v>
      </c>
      <c r="F364" s="12">
        <v>1</v>
      </c>
      <c r="G364" s="12" t="s">
        <v>40</v>
      </c>
      <c r="H364" s="10"/>
      <c r="I364" s="32">
        <f t="shared" si="5"/>
        <v>0</v>
      </c>
      <c r="J364" s="10" t="s">
        <v>14</v>
      </c>
      <c r="K364" s="12" t="s">
        <v>479</v>
      </c>
      <c r="L364" s="10"/>
      <c r="M364" s="10"/>
    </row>
    <row r="365" spans="1:13" ht="15" customHeight="1" x14ac:dyDescent="0.25">
      <c r="A365" s="7">
        <v>351</v>
      </c>
      <c r="B365" s="34"/>
      <c r="C365" s="11"/>
      <c r="D365" s="14" t="s">
        <v>532</v>
      </c>
      <c r="E365" s="12">
        <f>Table1[[#This Row],[QUANTITY]]-Table1[[#This Row],[CONSUMPTION]]</f>
        <v>1</v>
      </c>
      <c r="F365" s="12">
        <v>1</v>
      </c>
      <c r="G365" s="12" t="s">
        <v>40</v>
      </c>
      <c r="H365" s="10"/>
      <c r="I365" s="32">
        <f t="shared" si="5"/>
        <v>0</v>
      </c>
      <c r="J365" s="10" t="s">
        <v>14</v>
      </c>
      <c r="K365" s="12" t="s">
        <v>479</v>
      </c>
      <c r="L365" s="10"/>
      <c r="M365" s="10"/>
    </row>
    <row r="366" spans="1:13" ht="15" customHeight="1" x14ac:dyDescent="0.25">
      <c r="A366" s="9">
        <v>352</v>
      </c>
      <c r="B366" s="34"/>
      <c r="C366" s="11"/>
      <c r="D366" s="14" t="s">
        <v>532</v>
      </c>
      <c r="E366" s="12">
        <f>Table1[[#This Row],[QUANTITY]]-Table1[[#This Row],[CONSUMPTION]]</f>
        <v>1</v>
      </c>
      <c r="F366" s="12">
        <v>1</v>
      </c>
      <c r="G366" s="12" t="s">
        <v>40</v>
      </c>
      <c r="H366" s="10"/>
      <c r="I366" s="32">
        <f t="shared" si="5"/>
        <v>0</v>
      </c>
      <c r="J366" s="10" t="s">
        <v>14</v>
      </c>
      <c r="K366" s="12" t="s">
        <v>479</v>
      </c>
      <c r="L366" s="10"/>
      <c r="M366" s="10"/>
    </row>
    <row r="367" spans="1:13" ht="15" customHeight="1" x14ac:dyDescent="0.25">
      <c r="A367" s="9">
        <v>353</v>
      </c>
      <c r="B367" s="34"/>
      <c r="C367" s="11"/>
      <c r="D367" s="14" t="s">
        <v>533</v>
      </c>
      <c r="E367" s="12">
        <f>Table1[[#This Row],[QUANTITY]]-Table1[[#This Row],[CONSUMPTION]]</f>
        <v>1</v>
      </c>
      <c r="F367" s="12">
        <v>1</v>
      </c>
      <c r="G367" s="12" t="s">
        <v>40</v>
      </c>
      <c r="H367" s="10"/>
      <c r="I367" s="32">
        <f t="shared" si="5"/>
        <v>0</v>
      </c>
      <c r="J367" s="10" t="s">
        <v>14</v>
      </c>
      <c r="K367" s="12" t="s">
        <v>479</v>
      </c>
      <c r="L367" s="10"/>
      <c r="M367" s="10"/>
    </row>
    <row r="368" spans="1:13" ht="15" customHeight="1" x14ac:dyDescent="0.25">
      <c r="A368" s="9">
        <v>354</v>
      </c>
      <c r="B368" s="34"/>
      <c r="C368" s="11"/>
      <c r="D368" s="14" t="s">
        <v>534</v>
      </c>
      <c r="E368" s="12">
        <f>Table1[[#This Row],[QUANTITY]]-Table1[[#This Row],[CONSUMPTION]]</f>
        <v>1</v>
      </c>
      <c r="F368" s="12">
        <v>1</v>
      </c>
      <c r="G368" s="12" t="s">
        <v>40</v>
      </c>
      <c r="H368" s="10"/>
      <c r="I368" s="32">
        <f t="shared" si="5"/>
        <v>0</v>
      </c>
      <c r="J368" s="10" t="s">
        <v>14</v>
      </c>
      <c r="K368" s="12" t="s">
        <v>479</v>
      </c>
      <c r="L368" s="10"/>
      <c r="M368" s="10"/>
    </row>
    <row r="369" spans="1:13" ht="15" customHeight="1" x14ac:dyDescent="0.25">
      <c r="A369" s="7">
        <v>355</v>
      </c>
      <c r="B369" s="34"/>
      <c r="C369" s="11"/>
      <c r="D369" s="14" t="s">
        <v>535</v>
      </c>
      <c r="E369" s="12">
        <f>Table1[[#This Row],[QUANTITY]]-Table1[[#This Row],[CONSUMPTION]]</f>
        <v>1</v>
      </c>
      <c r="F369" s="12">
        <v>1</v>
      </c>
      <c r="G369" s="12" t="s">
        <v>40</v>
      </c>
      <c r="H369" s="10"/>
      <c r="I369" s="32">
        <f t="shared" si="5"/>
        <v>0</v>
      </c>
      <c r="J369" s="10" t="s">
        <v>14</v>
      </c>
      <c r="K369" s="12" t="s">
        <v>479</v>
      </c>
      <c r="L369" s="10"/>
      <c r="M369" s="10"/>
    </row>
    <row r="370" spans="1:13" ht="15" customHeight="1" x14ac:dyDescent="0.25">
      <c r="A370" s="9">
        <v>356</v>
      </c>
      <c r="B370" s="34"/>
      <c r="C370" s="11"/>
      <c r="D370" s="14" t="s">
        <v>536</v>
      </c>
      <c r="E370" s="12">
        <f>Table1[[#This Row],[QUANTITY]]-Table1[[#This Row],[CONSUMPTION]]</f>
        <v>1</v>
      </c>
      <c r="F370" s="12">
        <v>1</v>
      </c>
      <c r="G370" s="12" t="s">
        <v>40</v>
      </c>
      <c r="H370" s="10"/>
      <c r="I370" s="32">
        <f t="shared" si="5"/>
        <v>0</v>
      </c>
      <c r="J370" s="10" t="s">
        <v>14</v>
      </c>
      <c r="K370" s="12" t="s">
        <v>479</v>
      </c>
      <c r="L370" s="10"/>
      <c r="M370" s="10"/>
    </row>
    <row r="371" spans="1:13" ht="15" customHeight="1" x14ac:dyDescent="0.25">
      <c r="A371" s="9">
        <v>357</v>
      </c>
      <c r="B371" s="34"/>
      <c r="C371" s="11"/>
      <c r="D371" s="14" t="s">
        <v>537</v>
      </c>
      <c r="E371" s="12">
        <f>Table1[[#This Row],[QUANTITY]]-Table1[[#This Row],[CONSUMPTION]]</f>
        <v>1</v>
      </c>
      <c r="F371" s="12">
        <v>2</v>
      </c>
      <c r="G371" s="12" t="s">
        <v>40</v>
      </c>
      <c r="H371" s="10"/>
      <c r="I371" s="32">
        <f t="shared" si="5"/>
        <v>0</v>
      </c>
      <c r="J371" s="10" t="s">
        <v>14</v>
      </c>
      <c r="K371" s="12" t="s">
        <v>479</v>
      </c>
      <c r="L371" s="10">
        <v>1</v>
      </c>
      <c r="M371" s="10" t="s">
        <v>538</v>
      </c>
    </row>
    <row r="372" spans="1:13" ht="15" customHeight="1" x14ac:dyDescent="0.25">
      <c r="A372" s="9">
        <v>358</v>
      </c>
      <c r="B372" s="34"/>
      <c r="C372" s="11"/>
      <c r="D372" s="14" t="s">
        <v>539</v>
      </c>
      <c r="E372" s="12">
        <f>Table1[[#This Row],[QUANTITY]]-Table1[[#This Row],[CONSUMPTION]]</f>
        <v>1</v>
      </c>
      <c r="F372" s="12">
        <v>1</v>
      </c>
      <c r="G372" s="12" t="s">
        <v>40</v>
      </c>
      <c r="H372" s="10"/>
      <c r="I372" s="32">
        <f t="shared" si="5"/>
        <v>0</v>
      </c>
      <c r="J372" s="10" t="s">
        <v>14</v>
      </c>
      <c r="K372" s="12" t="s">
        <v>479</v>
      </c>
      <c r="L372" s="10"/>
      <c r="M372" s="10"/>
    </row>
    <row r="373" spans="1:13" ht="15" customHeight="1" x14ac:dyDescent="0.25">
      <c r="A373" s="7">
        <v>359</v>
      </c>
      <c r="B373" s="34"/>
      <c r="C373" s="11"/>
      <c r="D373" s="14" t="s">
        <v>540</v>
      </c>
      <c r="E373" s="12">
        <f>Table1[[#This Row],[QUANTITY]]-Table1[[#This Row],[CONSUMPTION]]</f>
        <v>1</v>
      </c>
      <c r="F373" s="12">
        <v>1</v>
      </c>
      <c r="G373" s="12" t="s">
        <v>40</v>
      </c>
      <c r="H373" s="10"/>
      <c r="I373" s="32">
        <f t="shared" si="5"/>
        <v>0</v>
      </c>
      <c r="J373" s="10" t="s">
        <v>7</v>
      </c>
      <c r="K373" s="12" t="s">
        <v>479</v>
      </c>
      <c r="L373" s="10"/>
      <c r="M373" s="10"/>
    </row>
    <row r="374" spans="1:13" ht="15" customHeight="1" x14ac:dyDescent="0.25">
      <c r="A374" s="9">
        <v>360</v>
      </c>
      <c r="B374" s="34"/>
      <c r="C374" s="11"/>
      <c r="D374" s="14" t="s">
        <v>541</v>
      </c>
      <c r="E374" s="12">
        <f>Table1[[#This Row],[QUANTITY]]-Table1[[#This Row],[CONSUMPTION]]</f>
        <v>1</v>
      </c>
      <c r="F374" s="12">
        <v>1</v>
      </c>
      <c r="G374" s="12" t="s">
        <v>40</v>
      </c>
      <c r="H374" s="10"/>
      <c r="I374" s="32">
        <f t="shared" si="5"/>
        <v>0</v>
      </c>
      <c r="J374" s="10" t="s">
        <v>7</v>
      </c>
      <c r="K374" s="12" t="s">
        <v>479</v>
      </c>
      <c r="L374" s="10"/>
      <c r="M374" s="10"/>
    </row>
    <row r="375" spans="1:13" ht="15" customHeight="1" x14ac:dyDescent="0.25">
      <c r="A375" s="9">
        <v>361</v>
      </c>
      <c r="B375" s="34"/>
      <c r="C375" s="11"/>
      <c r="D375" s="14" t="s">
        <v>542</v>
      </c>
      <c r="E375" s="12">
        <f>Table1[[#This Row],[QUANTITY]]-Table1[[#This Row],[CONSUMPTION]]</f>
        <v>1</v>
      </c>
      <c r="F375" s="12">
        <v>1</v>
      </c>
      <c r="G375" s="12" t="s">
        <v>40</v>
      </c>
      <c r="H375" s="10"/>
      <c r="I375" s="32">
        <f t="shared" si="5"/>
        <v>0</v>
      </c>
      <c r="J375" s="10" t="s">
        <v>7</v>
      </c>
      <c r="K375" s="12" t="s">
        <v>479</v>
      </c>
      <c r="L375" s="10"/>
      <c r="M375" s="10"/>
    </row>
    <row r="376" spans="1:13" ht="15" customHeight="1" x14ac:dyDescent="0.25">
      <c r="A376" s="9">
        <v>362</v>
      </c>
      <c r="B376" s="34"/>
      <c r="C376" s="11"/>
      <c r="D376" s="14" t="s">
        <v>543</v>
      </c>
      <c r="E376" s="12">
        <f>Table1[[#This Row],[QUANTITY]]-Table1[[#This Row],[CONSUMPTION]]</f>
        <v>1</v>
      </c>
      <c r="F376" s="12">
        <v>1</v>
      </c>
      <c r="G376" s="12" t="s">
        <v>40</v>
      </c>
      <c r="H376" s="10"/>
      <c r="I376" s="32">
        <f t="shared" si="5"/>
        <v>0</v>
      </c>
      <c r="J376" s="10" t="s">
        <v>14</v>
      </c>
      <c r="K376" s="12" t="s">
        <v>479</v>
      </c>
      <c r="L376" s="10"/>
      <c r="M376" s="10"/>
    </row>
    <row r="377" spans="1:13" ht="15" customHeight="1" x14ac:dyDescent="0.25">
      <c r="A377" s="7">
        <v>363</v>
      </c>
      <c r="B377" s="34"/>
      <c r="C377" s="11"/>
      <c r="D377" s="14" t="s">
        <v>544</v>
      </c>
      <c r="E377" s="12">
        <f>Table1[[#This Row],[QUANTITY]]-Table1[[#This Row],[CONSUMPTION]]</f>
        <v>5</v>
      </c>
      <c r="F377" s="12">
        <v>5</v>
      </c>
      <c r="G377" s="12" t="s">
        <v>40</v>
      </c>
      <c r="H377" s="10"/>
      <c r="I377" s="32">
        <f t="shared" si="5"/>
        <v>0</v>
      </c>
      <c r="J377" s="10" t="s">
        <v>14</v>
      </c>
      <c r="K377" s="12" t="s">
        <v>479</v>
      </c>
      <c r="L377" s="10"/>
      <c r="M377" s="10"/>
    </row>
    <row r="378" spans="1:13" ht="15" customHeight="1" x14ac:dyDescent="0.25">
      <c r="A378" s="9">
        <v>364</v>
      </c>
      <c r="B378" s="34"/>
      <c r="C378" s="11"/>
      <c r="D378" s="14" t="s">
        <v>545</v>
      </c>
      <c r="E378" s="12">
        <f>Table1[[#This Row],[QUANTITY]]-Table1[[#This Row],[CONSUMPTION]]</f>
        <v>2</v>
      </c>
      <c r="F378" s="12">
        <v>2</v>
      </c>
      <c r="G378" s="12" t="s">
        <v>40</v>
      </c>
      <c r="H378" s="10"/>
      <c r="I378" s="32">
        <f t="shared" si="5"/>
        <v>0</v>
      </c>
      <c r="J378" s="10" t="s">
        <v>14</v>
      </c>
      <c r="K378" s="12" t="s">
        <v>479</v>
      </c>
      <c r="L378" s="10"/>
      <c r="M378" s="10"/>
    </row>
    <row r="379" spans="1:13" ht="15" customHeight="1" x14ac:dyDescent="0.25">
      <c r="A379" s="9">
        <v>365</v>
      </c>
      <c r="B379" s="34"/>
      <c r="C379" s="11"/>
      <c r="D379" s="14" t="s">
        <v>546</v>
      </c>
      <c r="E379" s="12">
        <f>Table1[[#This Row],[QUANTITY]]-Table1[[#This Row],[CONSUMPTION]]</f>
        <v>1</v>
      </c>
      <c r="F379" s="12">
        <v>1</v>
      </c>
      <c r="G379" s="12" t="s">
        <v>40</v>
      </c>
      <c r="H379" s="10"/>
      <c r="I379" s="32">
        <f t="shared" si="5"/>
        <v>0</v>
      </c>
      <c r="J379" s="10" t="s">
        <v>14</v>
      </c>
      <c r="K379" s="12" t="s">
        <v>479</v>
      </c>
      <c r="L379" s="10"/>
      <c r="M379" s="10"/>
    </row>
    <row r="380" spans="1:13" ht="15" customHeight="1" x14ac:dyDescent="0.25">
      <c r="A380" s="9">
        <v>366</v>
      </c>
      <c r="B380" s="34"/>
      <c r="C380" s="11"/>
      <c r="D380" s="14" t="s">
        <v>547</v>
      </c>
      <c r="E380" s="12">
        <f>Table1[[#This Row],[QUANTITY]]-Table1[[#This Row],[CONSUMPTION]]</f>
        <v>1</v>
      </c>
      <c r="F380" s="12">
        <v>1</v>
      </c>
      <c r="G380" s="12" t="s">
        <v>40</v>
      </c>
      <c r="H380" s="10"/>
      <c r="I380" s="32">
        <f t="shared" si="5"/>
        <v>0</v>
      </c>
      <c r="J380" s="10" t="s">
        <v>14</v>
      </c>
      <c r="K380" s="12" t="s">
        <v>479</v>
      </c>
      <c r="L380" s="10"/>
      <c r="M380" s="10"/>
    </row>
    <row r="381" spans="1:13" ht="15" customHeight="1" x14ac:dyDescent="0.25">
      <c r="A381" s="7">
        <v>367</v>
      </c>
      <c r="B381" s="34"/>
      <c r="C381" s="11"/>
      <c r="D381" s="14" t="s">
        <v>548</v>
      </c>
      <c r="E381" s="12">
        <f>Table1[[#This Row],[QUANTITY]]-Table1[[#This Row],[CONSUMPTION]]</f>
        <v>5</v>
      </c>
      <c r="F381" s="12">
        <v>6</v>
      </c>
      <c r="G381" s="12" t="s">
        <v>40</v>
      </c>
      <c r="H381" s="10"/>
      <c r="I381" s="32">
        <f t="shared" si="5"/>
        <v>0</v>
      </c>
      <c r="J381" s="10" t="s">
        <v>14</v>
      </c>
      <c r="K381" s="12" t="s">
        <v>479</v>
      </c>
      <c r="L381" s="10">
        <v>1</v>
      </c>
      <c r="M381" s="10" t="s">
        <v>549</v>
      </c>
    </row>
    <row r="382" spans="1:13" ht="15" customHeight="1" x14ac:dyDescent="0.25">
      <c r="A382" s="9">
        <v>368</v>
      </c>
      <c r="B382" s="34"/>
      <c r="C382" s="11"/>
      <c r="D382" s="14" t="s">
        <v>550</v>
      </c>
      <c r="E382" s="12">
        <f>Table1[[#This Row],[QUANTITY]]-Table1[[#This Row],[CONSUMPTION]]</f>
        <v>1</v>
      </c>
      <c r="F382" s="12">
        <v>1</v>
      </c>
      <c r="G382" s="12" t="s">
        <v>40</v>
      </c>
      <c r="H382" s="10"/>
      <c r="I382" s="32">
        <f t="shared" si="5"/>
        <v>0</v>
      </c>
      <c r="J382" s="10" t="s">
        <v>14</v>
      </c>
      <c r="K382" s="12" t="s">
        <v>479</v>
      </c>
      <c r="L382" s="10"/>
      <c r="M382" s="10"/>
    </row>
    <row r="383" spans="1:13" ht="15" customHeight="1" x14ac:dyDescent="0.25">
      <c r="A383" s="9">
        <v>369</v>
      </c>
      <c r="B383" s="34"/>
      <c r="C383" s="11"/>
      <c r="D383" s="14" t="s">
        <v>551</v>
      </c>
      <c r="E383" s="12">
        <f>Table1[[#This Row],[QUANTITY]]-Table1[[#This Row],[CONSUMPTION]]</f>
        <v>6</v>
      </c>
      <c r="F383" s="12">
        <v>6</v>
      </c>
      <c r="G383" s="12" t="s">
        <v>40</v>
      </c>
      <c r="H383" s="10"/>
      <c r="I383" s="32">
        <f t="shared" si="5"/>
        <v>0</v>
      </c>
      <c r="J383" s="10" t="s">
        <v>14</v>
      </c>
      <c r="K383" s="12" t="s">
        <v>479</v>
      </c>
      <c r="L383" s="10"/>
      <c r="M383" s="10"/>
    </row>
    <row r="384" spans="1:13" ht="15" customHeight="1" x14ac:dyDescent="0.25">
      <c r="A384" s="9">
        <v>370</v>
      </c>
      <c r="B384" s="34"/>
      <c r="C384" s="11"/>
      <c r="D384" s="14" t="s">
        <v>552</v>
      </c>
      <c r="E384" s="12">
        <f>Table1[[#This Row],[QUANTITY]]-Table1[[#This Row],[CONSUMPTION]]</f>
        <v>4</v>
      </c>
      <c r="F384" s="12">
        <v>4</v>
      </c>
      <c r="G384" s="12" t="s">
        <v>40</v>
      </c>
      <c r="H384" s="10"/>
      <c r="I384" s="32">
        <f t="shared" si="5"/>
        <v>0</v>
      </c>
      <c r="J384" s="10" t="s">
        <v>14</v>
      </c>
      <c r="K384" s="12" t="s">
        <v>479</v>
      </c>
      <c r="L384" s="10"/>
      <c r="M384" s="10"/>
    </row>
    <row r="385" spans="1:13" ht="15" customHeight="1" x14ac:dyDescent="0.25">
      <c r="A385" s="7">
        <v>371</v>
      </c>
      <c r="B385" s="34"/>
      <c r="C385" s="11"/>
      <c r="D385" s="14" t="s">
        <v>553</v>
      </c>
      <c r="E385" s="12">
        <f>Table1[[#This Row],[QUANTITY]]-Table1[[#This Row],[CONSUMPTION]]</f>
        <v>1</v>
      </c>
      <c r="F385" s="12">
        <v>1</v>
      </c>
      <c r="G385" s="12" t="s">
        <v>40</v>
      </c>
      <c r="H385" s="10"/>
      <c r="I385" s="32">
        <f t="shared" si="5"/>
        <v>0</v>
      </c>
      <c r="J385" s="10" t="s">
        <v>14</v>
      </c>
      <c r="K385" s="12" t="s">
        <v>479</v>
      </c>
      <c r="L385" s="10"/>
      <c r="M385" s="10"/>
    </row>
    <row r="386" spans="1:13" ht="15" customHeight="1" x14ac:dyDescent="0.25">
      <c r="A386" s="9">
        <v>372</v>
      </c>
      <c r="B386" s="34"/>
      <c r="C386" s="11"/>
      <c r="D386" s="14" t="s">
        <v>554</v>
      </c>
      <c r="E386" s="12">
        <f>Table1[[#This Row],[QUANTITY]]-Table1[[#This Row],[CONSUMPTION]]</f>
        <v>1</v>
      </c>
      <c r="F386" s="12">
        <v>1</v>
      </c>
      <c r="G386" s="12" t="s">
        <v>40</v>
      </c>
      <c r="H386" s="10"/>
      <c r="I386" s="32">
        <f t="shared" si="5"/>
        <v>0</v>
      </c>
      <c r="J386" s="10" t="s">
        <v>14</v>
      </c>
      <c r="K386" s="12" t="s">
        <v>479</v>
      </c>
      <c r="L386" s="10"/>
      <c r="M386" s="10"/>
    </row>
    <row r="387" spans="1:13" ht="15" customHeight="1" x14ac:dyDescent="0.25">
      <c r="A387" s="9">
        <v>373</v>
      </c>
      <c r="B387" s="34"/>
      <c r="C387" s="11"/>
      <c r="D387" s="14" t="s">
        <v>555</v>
      </c>
      <c r="E387" s="12">
        <f>Table1[[#This Row],[QUANTITY]]-Table1[[#This Row],[CONSUMPTION]]</f>
        <v>3</v>
      </c>
      <c r="F387" s="12">
        <v>3</v>
      </c>
      <c r="G387" s="12" t="s">
        <v>365</v>
      </c>
      <c r="H387" s="10"/>
      <c r="I387" s="32">
        <f t="shared" si="5"/>
        <v>0</v>
      </c>
      <c r="J387" s="10" t="s">
        <v>14</v>
      </c>
      <c r="K387" s="12" t="s">
        <v>479</v>
      </c>
      <c r="L387" s="10"/>
      <c r="M387" s="10"/>
    </row>
    <row r="388" spans="1:13" ht="15" customHeight="1" x14ac:dyDescent="0.25">
      <c r="A388" s="9">
        <v>374</v>
      </c>
      <c r="B388" s="34"/>
      <c r="C388" s="11"/>
      <c r="D388" s="14" t="s">
        <v>556</v>
      </c>
      <c r="E388" s="12">
        <f>Table1[[#This Row],[QUANTITY]]-Table1[[#This Row],[CONSUMPTION]]</f>
        <v>5</v>
      </c>
      <c r="F388" s="12">
        <v>5</v>
      </c>
      <c r="G388" s="12" t="s">
        <v>40</v>
      </c>
      <c r="H388" s="10"/>
      <c r="I388" s="32">
        <f t="shared" si="5"/>
        <v>0</v>
      </c>
      <c r="J388" s="10" t="s">
        <v>14</v>
      </c>
      <c r="K388" s="12" t="s">
        <v>479</v>
      </c>
      <c r="L388" s="10"/>
      <c r="M388" s="10"/>
    </row>
    <row r="389" spans="1:13" ht="15" customHeight="1" x14ac:dyDescent="0.25">
      <c r="A389" s="7">
        <v>375</v>
      </c>
      <c r="B389" s="34"/>
      <c r="C389" s="11"/>
      <c r="D389" s="14" t="s">
        <v>557</v>
      </c>
      <c r="E389" s="12">
        <f>Table1[[#This Row],[QUANTITY]]-Table1[[#This Row],[CONSUMPTION]]</f>
        <v>2</v>
      </c>
      <c r="F389" s="12">
        <v>2</v>
      </c>
      <c r="G389" s="12" t="s">
        <v>40</v>
      </c>
      <c r="H389" s="10"/>
      <c r="I389" s="32">
        <f t="shared" si="5"/>
        <v>0</v>
      </c>
      <c r="J389" s="10" t="s">
        <v>14</v>
      </c>
      <c r="K389" s="12" t="s">
        <v>479</v>
      </c>
      <c r="L389" s="10"/>
      <c r="M389" s="10"/>
    </row>
    <row r="390" spans="1:13" ht="15" customHeight="1" x14ac:dyDescent="0.25">
      <c r="A390" s="9">
        <v>376</v>
      </c>
      <c r="B390" s="34"/>
      <c r="C390" s="11"/>
      <c r="D390" s="14" t="s">
        <v>558</v>
      </c>
      <c r="E390" s="12">
        <f>Table1[[#This Row],[QUANTITY]]-Table1[[#This Row],[CONSUMPTION]]</f>
        <v>2</v>
      </c>
      <c r="F390" s="12">
        <v>2</v>
      </c>
      <c r="G390" s="12" t="s">
        <v>40</v>
      </c>
      <c r="H390" s="10"/>
      <c r="I390" s="32">
        <f t="shared" si="5"/>
        <v>0</v>
      </c>
      <c r="J390" s="10" t="s">
        <v>14</v>
      </c>
      <c r="K390" s="12" t="s">
        <v>479</v>
      </c>
      <c r="L390" s="10"/>
      <c r="M390" s="10"/>
    </row>
    <row r="391" spans="1:13" ht="15" customHeight="1" x14ac:dyDescent="0.25">
      <c r="A391" s="9">
        <v>377</v>
      </c>
      <c r="B391" s="34"/>
      <c r="C391" s="11"/>
      <c r="D391" s="14" t="s">
        <v>559</v>
      </c>
      <c r="E391" s="12">
        <f>Table1[[#This Row],[QUANTITY]]-Table1[[#This Row],[CONSUMPTION]]</f>
        <v>1</v>
      </c>
      <c r="F391" s="12">
        <v>1</v>
      </c>
      <c r="G391" s="12" t="s">
        <v>40</v>
      </c>
      <c r="H391" s="10"/>
      <c r="I391" s="32">
        <f t="shared" si="5"/>
        <v>0</v>
      </c>
      <c r="J391" s="10" t="s">
        <v>7</v>
      </c>
      <c r="K391" s="12" t="s">
        <v>479</v>
      </c>
      <c r="L391" s="10"/>
      <c r="M391" s="10"/>
    </row>
    <row r="392" spans="1:13" ht="15" customHeight="1" x14ac:dyDescent="0.25">
      <c r="A392" s="9">
        <v>378</v>
      </c>
      <c r="B392" s="34"/>
      <c r="C392" s="11"/>
      <c r="D392" s="14" t="s">
        <v>560</v>
      </c>
      <c r="E392" s="12">
        <f>Table1[[#This Row],[QUANTITY]]-Table1[[#This Row],[CONSUMPTION]]</f>
        <v>1</v>
      </c>
      <c r="F392" s="12">
        <v>1</v>
      </c>
      <c r="G392" s="12" t="s">
        <v>40</v>
      </c>
      <c r="H392" s="10"/>
      <c r="I392" s="32">
        <f t="shared" si="5"/>
        <v>0</v>
      </c>
      <c r="J392" s="10" t="s">
        <v>7</v>
      </c>
      <c r="K392" s="12" t="s">
        <v>479</v>
      </c>
      <c r="L392" s="10"/>
      <c r="M392" s="10"/>
    </row>
    <row r="393" spans="1:13" ht="15" customHeight="1" x14ac:dyDescent="0.25">
      <c r="A393" s="7">
        <v>379</v>
      </c>
      <c r="B393" s="34"/>
      <c r="C393" s="11"/>
      <c r="D393" s="14" t="s">
        <v>561</v>
      </c>
      <c r="E393" s="12">
        <f>Table1[[#This Row],[QUANTITY]]-Table1[[#This Row],[CONSUMPTION]]</f>
        <v>1</v>
      </c>
      <c r="F393" s="12">
        <v>1</v>
      </c>
      <c r="G393" s="12" t="s">
        <v>40</v>
      </c>
      <c r="H393" s="10"/>
      <c r="I393" s="32">
        <f t="shared" si="5"/>
        <v>0</v>
      </c>
      <c r="J393" s="10" t="s">
        <v>7</v>
      </c>
      <c r="K393" s="12" t="s">
        <v>479</v>
      </c>
      <c r="L393" s="10"/>
      <c r="M393" s="10"/>
    </row>
    <row r="394" spans="1:13" ht="15" customHeight="1" x14ac:dyDescent="0.25">
      <c r="A394" s="9">
        <v>380</v>
      </c>
      <c r="B394" s="34"/>
      <c r="C394" s="11"/>
      <c r="D394" s="14" t="s">
        <v>562</v>
      </c>
      <c r="E394" s="12">
        <f>Table1[[#This Row],[QUANTITY]]-Table1[[#This Row],[CONSUMPTION]]</f>
        <v>3</v>
      </c>
      <c r="F394" s="12">
        <v>3</v>
      </c>
      <c r="G394" s="12" t="s">
        <v>40</v>
      </c>
      <c r="H394" s="10"/>
      <c r="I394" s="32">
        <f t="shared" si="5"/>
        <v>0</v>
      </c>
      <c r="J394" s="10" t="s">
        <v>14</v>
      </c>
      <c r="K394" s="12" t="s">
        <v>479</v>
      </c>
      <c r="L394" s="10"/>
      <c r="M394" s="10"/>
    </row>
    <row r="395" spans="1:13" ht="15" customHeight="1" x14ac:dyDescent="0.25">
      <c r="A395" s="9">
        <v>381</v>
      </c>
      <c r="B395" s="34"/>
      <c r="C395" s="11"/>
      <c r="D395" s="14" t="s">
        <v>563</v>
      </c>
      <c r="E395" s="12">
        <f>Table1[[#This Row],[QUANTITY]]-Table1[[#This Row],[CONSUMPTION]]</f>
        <v>1</v>
      </c>
      <c r="F395" s="12">
        <v>1</v>
      </c>
      <c r="G395" s="12" t="s">
        <v>365</v>
      </c>
      <c r="H395" s="10"/>
      <c r="I395" s="32">
        <f t="shared" si="5"/>
        <v>0</v>
      </c>
      <c r="J395" s="10" t="s">
        <v>7</v>
      </c>
      <c r="K395" s="12" t="s">
        <v>479</v>
      </c>
      <c r="L395" s="10"/>
      <c r="M395" s="10"/>
    </row>
    <row r="396" spans="1:13" ht="15" customHeight="1" x14ac:dyDescent="0.25">
      <c r="A396" s="9">
        <v>382</v>
      </c>
      <c r="B396" s="34"/>
      <c r="C396" s="11"/>
      <c r="D396" s="14" t="s">
        <v>564</v>
      </c>
      <c r="E396" s="12">
        <f>Table1[[#This Row],[QUANTITY]]-Table1[[#This Row],[CONSUMPTION]]</f>
        <v>2</v>
      </c>
      <c r="F396" s="12">
        <v>2</v>
      </c>
      <c r="G396" s="12" t="s">
        <v>365</v>
      </c>
      <c r="H396" s="10"/>
      <c r="I396" s="32">
        <f t="shared" si="5"/>
        <v>0</v>
      </c>
      <c r="J396" s="10" t="s">
        <v>14</v>
      </c>
      <c r="K396" s="12" t="s">
        <v>479</v>
      </c>
      <c r="L396" s="10"/>
      <c r="M396" s="10"/>
    </row>
    <row r="397" spans="1:13" ht="15" customHeight="1" x14ac:dyDescent="0.25">
      <c r="A397" s="7">
        <v>383</v>
      </c>
      <c r="B397" s="34"/>
      <c r="C397" s="11"/>
      <c r="D397" s="14" t="s">
        <v>565</v>
      </c>
      <c r="E397" s="12">
        <f>Table1[[#This Row],[QUANTITY]]-Table1[[#This Row],[CONSUMPTION]]</f>
        <v>2</v>
      </c>
      <c r="F397" s="12">
        <v>2</v>
      </c>
      <c r="G397" s="12" t="s">
        <v>365</v>
      </c>
      <c r="H397" s="10"/>
      <c r="I397" s="32">
        <f t="shared" si="5"/>
        <v>0</v>
      </c>
      <c r="J397" s="10" t="s">
        <v>14</v>
      </c>
      <c r="K397" s="12" t="s">
        <v>479</v>
      </c>
      <c r="L397" s="10"/>
      <c r="M397" s="10"/>
    </row>
    <row r="398" spans="1:13" ht="15" customHeight="1" x14ac:dyDescent="0.25">
      <c r="A398" s="9">
        <v>384</v>
      </c>
      <c r="B398" s="34"/>
      <c r="C398" s="11"/>
      <c r="D398" s="14" t="s">
        <v>566</v>
      </c>
      <c r="E398" s="12">
        <f>Table1[[#This Row],[QUANTITY]]-Table1[[#This Row],[CONSUMPTION]]</f>
        <v>1</v>
      </c>
      <c r="F398" s="12">
        <v>1</v>
      </c>
      <c r="G398" s="12" t="s">
        <v>365</v>
      </c>
      <c r="H398" s="10"/>
      <c r="I398" s="32">
        <f t="shared" si="5"/>
        <v>0</v>
      </c>
      <c r="J398" s="10" t="s">
        <v>7</v>
      </c>
      <c r="K398" s="12" t="s">
        <v>479</v>
      </c>
      <c r="L398" s="10"/>
      <c r="M398" s="10"/>
    </row>
    <row r="399" spans="1:13" ht="15" customHeight="1" x14ac:dyDescent="0.25">
      <c r="A399" s="9">
        <v>385</v>
      </c>
      <c r="B399" s="34"/>
      <c r="C399" s="11"/>
      <c r="D399" s="14" t="s">
        <v>567</v>
      </c>
      <c r="E399" s="12">
        <f>Table1[[#This Row],[QUANTITY]]-Table1[[#This Row],[CONSUMPTION]]</f>
        <v>2</v>
      </c>
      <c r="F399" s="12">
        <v>2</v>
      </c>
      <c r="G399" s="12" t="s">
        <v>365</v>
      </c>
      <c r="H399" s="10"/>
      <c r="I399" s="32">
        <f t="shared" ref="I399:I462" si="6">H399*E399</f>
        <v>0</v>
      </c>
      <c r="J399" s="10" t="s">
        <v>7</v>
      </c>
      <c r="K399" s="12" t="s">
        <v>479</v>
      </c>
      <c r="L399" s="10"/>
      <c r="M399" s="10"/>
    </row>
    <row r="400" spans="1:13" ht="15" customHeight="1" x14ac:dyDescent="0.25">
      <c r="A400" s="9">
        <v>386</v>
      </c>
      <c r="B400" s="34"/>
      <c r="C400" s="11"/>
      <c r="D400" s="14" t="s">
        <v>568</v>
      </c>
      <c r="E400" s="12">
        <f>Table1[[#This Row],[QUANTITY]]-Table1[[#This Row],[CONSUMPTION]]</f>
        <v>1</v>
      </c>
      <c r="F400" s="12">
        <v>1</v>
      </c>
      <c r="G400" s="12" t="s">
        <v>365</v>
      </c>
      <c r="H400" s="10"/>
      <c r="I400" s="32">
        <f t="shared" si="6"/>
        <v>0</v>
      </c>
      <c r="J400" s="10" t="s">
        <v>7</v>
      </c>
      <c r="K400" s="12" t="s">
        <v>479</v>
      </c>
      <c r="L400" s="10"/>
      <c r="M400" s="10"/>
    </row>
    <row r="401" spans="1:13" ht="15" customHeight="1" x14ac:dyDescent="0.25">
      <c r="A401" s="7">
        <v>387</v>
      </c>
      <c r="B401" s="34"/>
      <c r="C401" s="11"/>
      <c r="D401" s="14" t="s">
        <v>569</v>
      </c>
      <c r="E401" s="12">
        <f>Table1[[#This Row],[QUANTITY]]-Table1[[#This Row],[CONSUMPTION]]</f>
        <v>1</v>
      </c>
      <c r="F401" s="12">
        <v>1</v>
      </c>
      <c r="G401" s="12" t="s">
        <v>365</v>
      </c>
      <c r="H401" s="10"/>
      <c r="I401" s="32">
        <f t="shared" si="6"/>
        <v>0</v>
      </c>
      <c r="J401" s="10" t="s">
        <v>14</v>
      </c>
      <c r="K401" s="12" t="s">
        <v>479</v>
      </c>
      <c r="L401" s="10"/>
      <c r="M401" s="10"/>
    </row>
    <row r="402" spans="1:13" ht="15" customHeight="1" x14ac:dyDescent="0.25">
      <c r="A402" s="9">
        <v>388</v>
      </c>
      <c r="B402" s="34"/>
      <c r="C402" s="11" t="s">
        <v>570</v>
      </c>
      <c r="D402" s="14" t="s">
        <v>141</v>
      </c>
      <c r="E402" s="12">
        <f>Table1[[#This Row],[QUANTITY]]-Table1[[#This Row],[CONSUMPTION]]</f>
        <v>4</v>
      </c>
      <c r="F402" s="12">
        <v>4</v>
      </c>
      <c r="G402" s="12" t="s">
        <v>40</v>
      </c>
      <c r="H402" s="10"/>
      <c r="I402" s="32">
        <f t="shared" si="6"/>
        <v>0</v>
      </c>
      <c r="J402" s="10" t="s">
        <v>8</v>
      </c>
      <c r="K402" s="12" t="s">
        <v>571</v>
      </c>
      <c r="L402" s="10"/>
      <c r="M402" s="10"/>
    </row>
    <row r="403" spans="1:13" ht="15" customHeight="1" x14ac:dyDescent="0.25">
      <c r="A403" s="9">
        <v>389</v>
      </c>
      <c r="B403" s="34"/>
      <c r="C403" s="11" t="s">
        <v>572</v>
      </c>
      <c r="D403" s="14" t="s">
        <v>141</v>
      </c>
      <c r="E403" s="12">
        <f>Table1[[#This Row],[QUANTITY]]-Table1[[#This Row],[CONSUMPTION]]</f>
        <v>2</v>
      </c>
      <c r="F403" s="12">
        <v>2</v>
      </c>
      <c r="G403" s="12" t="s">
        <v>40</v>
      </c>
      <c r="H403" s="10"/>
      <c r="I403" s="32">
        <f t="shared" si="6"/>
        <v>0</v>
      </c>
      <c r="J403" s="10" t="s">
        <v>8</v>
      </c>
      <c r="K403" s="12" t="s">
        <v>571</v>
      </c>
      <c r="L403" s="10"/>
      <c r="M403" s="10"/>
    </row>
    <row r="404" spans="1:13" ht="15" customHeight="1" x14ac:dyDescent="0.25">
      <c r="A404" s="9">
        <v>390</v>
      </c>
      <c r="B404" s="34"/>
      <c r="C404" s="11" t="s">
        <v>573</v>
      </c>
      <c r="D404" s="14" t="s">
        <v>141</v>
      </c>
      <c r="E404" s="12">
        <f>Table1[[#This Row],[QUANTITY]]-Table1[[#This Row],[CONSUMPTION]]</f>
        <v>2</v>
      </c>
      <c r="F404" s="12">
        <v>2</v>
      </c>
      <c r="G404" s="12" t="s">
        <v>40</v>
      </c>
      <c r="H404" s="10"/>
      <c r="I404" s="32">
        <f t="shared" si="6"/>
        <v>0</v>
      </c>
      <c r="J404" s="10" t="s">
        <v>8</v>
      </c>
      <c r="K404" s="12" t="s">
        <v>571</v>
      </c>
      <c r="L404" s="10"/>
      <c r="M404" s="10"/>
    </row>
    <row r="405" spans="1:13" ht="15" customHeight="1" x14ac:dyDescent="0.25">
      <c r="A405" s="7">
        <v>391</v>
      </c>
      <c r="B405" s="34"/>
      <c r="C405" s="11" t="s">
        <v>574</v>
      </c>
      <c r="D405" s="14" t="s">
        <v>141</v>
      </c>
      <c r="E405" s="12">
        <f>Table1[[#This Row],[QUANTITY]]-Table1[[#This Row],[CONSUMPTION]]</f>
        <v>4</v>
      </c>
      <c r="F405" s="12">
        <v>4</v>
      </c>
      <c r="G405" s="12" t="s">
        <v>40</v>
      </c>
      <c r="H405" s="10"/>
      <c r="I405" s="32">
        <f t="shared" si="6"/>
        <v>0</v>
      </c>
      <c r="J405" s="10" t="s">
        <v>8</v>
      </c>
      <c r="K405" s="12" t="s">
        <v>571</v>
      </c>
      <c r="L405" s="10"/>
      <c r="M405" s="10"/>
    </row>
    <row r="406" spans="1:13" ht="15" customHeight="1" x14ac:dyDescent="0.25">
      <c r="A406" s="9">
        <v>392</v>
      </c>
      <c r="B406" s="34"/>
      <c r="C406" s="11" t="s">
        <v>575</v>
      </c>
      <c r="D406" s="14" t="s">
        <v>141</v>
      </c>
      <c r="E406" s="12">
        <f>Table1[[#This Row],[QUANTITY]]-Table1[[#This Row],[CONSUMPTION]]</f>
        <v>1</v>
      </c>
      <c r="F406" s="12">
        <v>1</v>
      </c>
      <c r="G406" s="12" t="s">
        <v>40</v>
      </c>
      <c r="H406" s="10"/>
      <c r="I406" s="32">
        <f t="shared" si="6"/>
        <v>0</v>
      </c>
      <c r="J406" s="10" t="s">
        <v>8</v>
      </c>
      <c r="K406" s="12" t="s">
        <v>571</v>
      </c>
      <c r="L406" s="10"/>
      <c r="M406" s="10"/>
    </row>
    <row r="407" spans="1:13" ht="15" customHeight="1" x14ac:dyDescent="0.25">
      <c r="A407" s="9">
        <v>393</v>
      </c>
      <c r="B407" s="34"/>
      <c r="C407" s="11" t="s">
        <v>576</v>
      </c>
      <c r="D407" s="14" t="s">
        <v>141</v>
      </c>
      <c r="E407" s="12">
        <f>Table1[[#This Row],[QUANTITY]]-Table1[[#This Row],[CONSUMPTION]]</f>
        <v>1</v>
      </c>
      <c r="F407" s="12">
        <v>1</v>
      </c>
      <c r="G407" s="12" t="s">
        <v>40</v>
      </c>
      <c r="H407" s="10"/>
      <c r="I407" s="32">
        <f t="shared" si="6"/>
        <v>0</v>
      </c>
      <c r="J407" s="10" t="s">
        <v>8</v>
      </c>
      <c r="K407" s="12" t="s">
        <v>571</v>
      </c>
      <c r="L407" s="10"/>
      <c r="M407" s="10"/>
    </row>
    <row r="408" spans="1:13" ht="15" customHeight="1" x14ac:dyDescent="0.25">
      <c r="A408" s="9">
        <v>394</v>
      </c>
      <c r="B408" s="34"/>
      <c r="C408" s="11" t="s">
        <v>577</v>
      </c>
      <c r="D408" s="14" t="s">
        <v>141</v>
      </c>
      <c r="E408" s="12">
        <f>Table1[[#This Row],[QUANTITY]]-Table1[[#This Row],[CONSUMPTION]]</f>
        <v>3</v>
      </c>
      <c r="F408" s="12">
        <v>3</v>
      </c>
      <c r="G408" s="12" t="s">
        <v>40</v>
      </c>
      <c r="H408" s="10"/>
      <c r="I408" s="32">
        <f t="shared" si="6"/>
        <v>0</v>
      </c>
      <c r="J408" s="10" t="s">
        <v>8</v>
      </c>
      <c r="K408" s="12" t="s">
        <v>571</v>
      </c>
      <c r="L408" s="10"/>
      <c r="M408" s="10"/>
    </row>
    <row r="409" spans="1:13" ht="15" customHeight="1" x14ac:dyDescent="0.25">
      <c r="A409" s="9">
        <v>395</v>
      </c>
      <c r="B409" s="34"/>
      <c r="C409" s="11" t="s">
        <v>578</v>
      </c>
      <c r="D409" s="14" t="s">
        <v>141</v>
      </c>
      <c r="E409" s="12">
        <f>Table1[[#This Row],[QUANTITY]]-Table1[[#This Row],[CONSUMPTION]]</f>
        <v>2</v>
      </c>
      <c r="F409" s="12">
        <v>2</v>
      </c>
      <c r="G409" s="12" t="s">
        <v>40</v>
      </c>
      <c r="H409" s="10"/>
      <c r="I409" s="32">
        <f t="shared" si="6"/>
        <v>0</v>
      </c>
      <c r="J409" s="10" t="s">
        <v>8</v>
      </c>
      <c r="K409" s="12" t="s">
        <v>571</v>
      </c>
      <c r="L409" s="10"/>
      <c r="M409" s="10"/>
    </row>
    <row r="410" spans="1:13" ht="15" customHeight="1" x14ac:dyDescent="0.25">
      <c r="A410" s="9">
        <v>396</v>
      </c>
      <c r="B410" s="33"/>
      <c r="C410" s="11" t="s">
        <v>579</v>
      </c>
      <c r="D410" s="14" t="s">
        <v>141</v>
      </c>
      <c r="E410" s="12">
        <f>Table1[[#This Row],[QUANTITY]]-Table1[[#This Row],[CONSUMPTION]]</f>
        <v>2</v>
      </c>
      <c r="F410" s="1">
        <v>2</v>
      </c>
      <c r="G410" s="12" t="s">
        <v>40</v>
      </c>
      <c r="H410" s="4"/>
      <c r="I410" s="32">
        <f t="shared" si="6"/>
        <v>0</v>
      </c>
      <c r="J410" s="4" t="s">
        <v>8</v>
      </c>
      <c r="K410" s="1" t="s">
        <v>571</v>
      </c>
      <c r="L410" s="4"/>
      <c r="M410" s="4"/>
    </row>
    <row r="411" spans="1:13" ht="15" customHeight="1" x14ac:dyDescent="0.25">
      <c r="A411" s="7">
        <v>397</v>
      </c>
      <c r="B411" s="33"/>
      <c r="C411" s="11" t="s">
        <v>580</v>
      </c>
      <c r="D411" s="14" t="s">
        <v>141</v>
      </c>
      <c r="E411" s="40">
        <f>Table1[[#This Row],[QUANTITY]]-Table1[[#This Row],[CONSUMPTION]]</f>
        <v>2</v>
      </c>
      <c r="F411" s="1">
        <v>2</v>
      </c>
      <c r="G411" s="12" t="s">
        <v>40</v>
      </c>
      <c r="H411" s="4"/>
      <c r="I411" s="32">
        <f t="shared" si="6"/>
        <v>0</v>
      </c>
      <c r="J411" s="4" t="s">
        <v>8</v>
      </c>
      <c r="K411" s="1" t="s">
        <v>571</v>
      </c>
      <c r="L411" s="4"/>
      <c r="M411" s="4"/>
    </row>
    <row r="412" spans="1:13" ht="15" customHeight="1" x14ac:dyDescent="0.25">
      <c r="A412" s="9">
        <v>398</v>
      </c>
      <c r="B412" s="33"/>
      <c r="C412" s="11" t="s">
        <v>581</v>
      </c>
      <c r="D412" s="14" t="s">
        <v>141</v>
      </c>
      <c r="E412" s="40">
        <f>Table1[[#This Row],[QUANTITY]]-Table1[[#This Row],[CONSUMPTION]]</f>
        <v>2</v>
      </c>
      <c r="F412" s="1">
        <v>2</v>
      </c>
      <c r="G412" s="12" t="s">
        <v>40</v>
      </c>
      <c r="H412" s="4"/>
      <c r="I412" s="32">
        <f t="shared" si="6"/>
        <v>0</v>
      </c>
      <c r="J412" s="4" t="s">
        <v>8</v>
      </c>
      <c r="K412" s="1" t="s">
        <v>571</v>
      </c>
      <c r="L412" s="4"/>
      <c r="M412" s="4"/>
    </row>
    <row r="413" spans="1:13" ht="15" customHeight="1" x14ac:dyDescent="0.25">
      <c r="A413" s="9">
        <v>399</v>
      </c>
      <c r="B413" s="34"/>
      <c r="C413" s="11" t="s">
        <v>582</v>
      </c>
      <c r="D413" s="14" t="s">
        <v>141</v>
      </c>
      <c r="E413" s="12">
        <f>Table1[[#This Row],[QUANTITY]]-Table1[[#This Row],[CONSUMPTION]]</f>
        <v>4</v>
      </c>
      <c r="F413" s="12">
        <v>4</v>
      </c>
      <c r="G413" s="1" t="s">
        <v>40</v>
      </c>
      <c r="H413" s="10"/>
      <c r="I413" s="32">
        <f t="shared" si="6"/>
        <v>0</v>
      </c>
      <c r="J413" s="4" t="s">
        <v>8</v>
      </c>
      <c r="K413" s="1" t="s">
        <v>571</v>
      </c>
      <c r="L413" s="10"/>
      <c r="M413" s="10"/>
    </row>
    <row r="414" spans="1:13" ht="15" customHeight="1" x14ac:dyDescent="0.25">
      <c r="A414" s="9">
        <v>400</v>
      </c>
      <c r="B414" s="33"/>
      <c r="C414" s="2" t="s">
        <v>583</v>
      </c>
      <c r="D414" s="14" t="s">
        <v>141</v>
      </c>
      <c r="E414" s="12">
        <f>Table1[[#This Row],[QUANTITY]]-Table1[[#This Row],[CONSUMPTION]]</f>
        <v>2</v>
      </c>
      <c r="F414" s="1">
        <v>2</v>
      </c>
      <c r="G414" s="1" t="s">
        <v>40</v>
      </c>
      <c r="H414" s="4"/>
      <c r="I414" s="32">
        <f t="shared" si="6"/>
        <v>0</v>
      </c>
      <c r="J414" s="4" t="s">
        <v>8</v>
      </c>
      <c r="K414" s="1" t="s">
        <v>571</v>
      </c>
      <c r="L414" s="4"/>
      <c r="M414" s="4"/>
    </row>
    <row r="415" spans="1:13" ht="15" customHeight="1" x14ac:dyDescent="0.25">
      <c r="A415" s="7">
        <v>401</v>
      </c>
      <c r="B415" s="33"/>
      <c r="C415" s="2" t="s">
        <v>584</v>
      </c>
      <c r="D415" s="14" t="s">
        <v>141</v>
      </c>
      <c r="E415" s="40">
        <f>Table1[[#This Row],[QUANTITY]]-Table1[[#This Row],[CONSUMPTION]]</f>
        <v>2</v>
      </c>
      <c r="F415" s="1">
        <v>2</v>
      </c>
      <c r="G415" s="1" t="s">
        <v>40</v>
      </c>
      <c r="H415" s="4"/>
      <c r="I415" s="32">
        <f t="shared" si="6"/>
        <v>0</v>
      </c>
      <c r="J415" s="4" t="s">
        <v>8</v>
      </c>
      <c r="K415" s="1" t="s">
        <v>571</v>
      </c>
      <c r="L415" s="4"/>
      <c r="M415" s="4"/>
    </row>
    <row r="416" spans="1:13" ht="15" customHeight="1" x14ac:dyDescent="0.25">
      <c r="A416" s="9">
        <v>402</v>
      </c>
      <c r="B416" s="34"/>
      <c r="C416" s="11" t="s">
        <v>585</v>
      </c>
      <c r="D416" s="14" t="s">
        <v>141</v>
      </c>
      <c r="E416" s="40">
        <f>Table1[[#This Row],[QUANTITY]]-Table1[[#This Row],[CONSUMPTION]]</f>
        <v>1</v>
      </c>
      <c r="F416" s="12">
        <v>1</v>
      </c>
      <c r="G416" s="1" t="s">
        <v>40</v>
      </c>
      <c r="H416" s="10"/>
      <c r="I416" s="32">
        <f t="shared" si="6"/>
        <v>0</v>
      </c>
      <c r="J416" s="4" t="s">
        <v>8</v>
      </c>
      <c r="K416" s="1" t="s">
        <v>571</v>
      </c>
      <c r="L416" s="10"/>
      <c r="M416" s="10"/>
    </row>
    <row r="417" spans="1:13" ht="15" customHeight="1" x14ac:dyDescent="0.25">
      <c r="A417" s="9">
        <v>403</v>
      </c>
      <c r="B417" s="34"/>
      <c r="C417" s="11" t="s">
        <v>586</v>
      </c>
      <c r="D417" s="14" t="s">
        <v>141</v>
      </c>
      <c r="E417" s="12">
        <f>Table1[[#This Row],[QUANTITY]]-Table1[[#This Row],[CONSUMPTION]]</f>
        <v>1</v>
      </c>
      <c r="F417" s="12">
        <v>1</v>
      </c>
      <c r="G417" s="1" t="s">
        <v>40</v>
      </c>
      <c r="H417" s="10"/>
      <c r="I417" s="32">
        <f t="shared" si="6"/>
        <v>0</v>
      </c>
      <c r="J417" s="4" t="s">
        <v>8</v>
      </c>
      <c r="K417" s="1" t="s">
        <v>571</v>
      </c>
      <c r="L417" s="10"/>
      <c r="M417" s="10"/>
    </row>
    <row r="418" spans="1:13" ht="15" customHeight="1" x14ac:dyDescent="0.25">
      <c r="A418" s="9">
        <v>404</v>
      </c>
      <c r="B418" s="34"/>
      <c r="C418" s="11" t="s">
        <v>587</v>
      </c>
      <c r="D418" s="14" t="s">
        <v>141</v>
      </c>
      <c r="E418" s="12">
        <f>Table1[[#This Row],[QUANTITY]]-Table1[[#This Row],[CONSUMPTION]]</f>
        <v>2</v>
      </c>
      <c r="F418" s="12">
        <v>2</v>
      </c>
      <c r="G418" s="1" t="s">
        <v>40</v>
      </c>
      <c r="H418" s="10"/>
      <c r="I418" s="32">
        <f t="shared" si="6"/>
        <v>0</v>
      </c>
      <c r="J418" s="4" t="s">
        <v>8</v>
      </c>
      <c r="K418" s="1" t="s">
        <v>571</v>
      </c>
      <c r="L418" s="10"/>
      <c r="M418" s="10"/>
    </row>
    <row r="419" spans="1:13" ht="15" customHeight="1" x14ac:dyDescent="0.25">
      <c r="A419" s="7">
        <v>405</v>
      </c>
      <c r="B419" s="34"/>
      <c r="C419" s="11" t="s">
        <v>588</v>
      </c>
      <c r="D419" s="14" t="s">
        <v>141</v>
      </c>
      <c r="E419" s="12">
        <f>Table1[[#This Row],[QUANTITY]]-Table1[[#This Row],[CONSUMPTION]]</f>
        <v>1</v>
      </c>
      <c r="F419" s="12">
        <v>1</v>
      </c>
      <c r="G419" s="1" t="s">
        <v>40</v>
      </c>
      <c r="H419" s="10"/>
      <c r="I419" s="32">
        <f t="shared" si="6"/>
        <v>0</v>
      </c>
      <c r="J419" s="4" t="s">
        <v>8</v>
      </c>
      <c r="K419" s="1" t="s">
        <v>571</v>
      </c>
      <c r="L419" s="10"/>
      <c r="M419" s="10"/>
    </row>
    <row r="420" spans="1:13" ht="15" customHeight="1" x14ac:dyDescent="0.25">
      <c r="A420" s="9">
        <v>406</v>
      </c>
      <c r="B420" s="34"/>
      <c r="C420" s="11" t="s">
        <v>589</v>
      </c>
      <c r="D420" s="14" t="s">
        <v>141</v>
      </c>
      <c r="E420" s="12">
        <f>Table1[[#This Row],[QUANTITY]]-Table1[[#This Row],[CONSUMPTION]]</f>
        <v>1</v>
      </c>
      <c r="F420" s="12">
        <v>1</v>
      </c>
      <c r="G420" s="1" t="s">
        <v>40</v>
      </c>
      <c r="H420" s="10"/>
      <c r="I420" s="32">
        <f t="shared" si="6"/>
        <v>0</v>
      </c>
      <c r="J420" s="4" t="s">
        <v>8</v>
      </c>
      <c r="K420" s="1" t="s">
        <v>571</v>
      </c>
      <c r="L420" s="10"/>
      <c r="M420" s="10"/>
    </row>
    <row r="421" spans="1:13" ht="15" customHeight="1" x14ac:dyDescent="0.25">
      <c r="A421" s="9">
        <v>407</v>
      </c>
      <c r="B421" s="34"/>
      <c r="C421" s="11" t="s">
        <v>590</v>
      </c>
      <c r="D421" s="14" t="s">
        <v>141</v>
      </c>
      <c r="E421" s="12">
        <f>Table1[[#This Row],[QUANTITY]]-Table1[[#This Row],[CONSUMPTION]]</f>
        <v>2</v>
      </c>
      <c r="F421" s="12">
        <v>2</v>
      </c>
      <c r="G421" s="1" t="s">
        <v>40</v>
      </c>
      <c r="H421" s="10"/>
      <c r="I421" s="32">
        <f t="shared" si="6"/>
        <v>0</v>
      </c>
      <c r="J421" s="4" t="s">
        <v>8</v>
      </c>
      <c r="K421" s="1" t="s">
        <v>591</v>
      </c>
      <c r="L421" s="10"/>
      <c r="M421" s="10"/>
    </row>
    <row r="422" spans="1:13" ht="15" customHeight="1" x14ac:dyDescent="0.25">
      <c r="A422" s="9">
        <v>408</v>
      </c>
      <c r="B422" s="34"/>
      <c r="C422" s="11" t="s">
        <v>592</v>
      </c>
      <c r="D422" s="14" t="s">
        <v>141</v>
      </c>
      <c r="E422" s="12">
        <f>Table1[[#This Row],[QUANTITY]]-Table1[[#This Row],[CONSUMPTION]]</f>
        <v>1</v>
      </c>
      <c r="F422" s="12">
        <v>1</v>
      </c>
      <c r="G422" s="1" t="s">
        <v>40</v>
      </c>
      <c r="H422" s="10"/>
      <c r="I422" s="32">
        <f t="shared" si="6"/>
        <v>0</v>
      </c>
      <c r="J422" s="4" t="s">
        <v>8</v>
      </c>
      <c r="K422" s="1" t="s">
        <v>591</v>
      </c>
      <c r="L422" s="10"/>
      <c r="M422" s="10"/>
    </row>
    <row r="423" spans="1:13" ht="15" customHeight="1" x14ac:dyDescent="0.25">
      <c r="A423" s="7">
        <v>409</v>
      </c>
      <c r="B423" s="34"/>
      <c r="C423" s="11" t="s">
        <v>593</v>
      </c>
      <c r="D423" s="14" t="s">
        <v>141</v>
      </c>
      <c r="E423" s="12">
        <f>Table1[[#This Row],[QUANTITY]]-Table1[[#This Row],[CONSUMPTION]]</f>
        <v>1</v>
      </c>
      <c r="F423" s="12">
        <v>1</v>
      </c>
      <c r="G423" s="1" t="s">
        <v>40</v>
      </c>
      <c r="H423" s="10"/>
      <c r="I423" s="32">
        <f t="shared" si="6"/>
        <v>0</v>
      </c>
      <c r="J423" s="4" t="s">
        <v>8</v>
      </c>
      <c r="K423" s="1" t="s">
        <v>591</v>
      </c>
      <c r="L423" s="10"/>
      <c r="M423" s="10"/>
    </row>
    <row r="424" spans="1:13" ht="15" customHeight="1" x14ac:dyDescent="0.25">
      <c r="A424" s="9">
        <v>410</v>
      </c>
      <c r="B424" s="34"/>
      <c r="C424" s="11" t="s">
        <v>594</v>
      </c>
      <c r="D424" s="14" t="s">
        <v>141</v>
      </c>
      <c r="E424" s="12">
        <f>Table1[[#This Row],[QUANTITY]]-Table1[[#This Row],[CONSUMPTION]]</f>
        <v>1</v>
      </c>
      <c r="F424" s="12">
        <v>1</v>
      </c>
      <c r="G424" s="1" t="s">
        <v>40</v>
      </c>
      <c r="H424" s="10"/>
      <c r="I424" s="32">
        <f t="shared" si="6"/>
        <v>0</v>
      </c>
      <c r="J424" s="4" t="s">
        <v>8</v>
      </c>
      <c r="K424" s="1" t="s">
        <v>591</v>
      </c>
      <c r="L424" s="10"/>
      <c r="M424" s="10"/>
    </row>
    <row r="425" spans="1:13" ht="15" customHeight="1" x14ac:dyDescent="0.25">
      <c r="A425" s="9">
        <v>411</v>
      </c>
      <c r="B425" s="34"/>
      <c r="C425" s="11" t="s">
        <v>595</v>
      </c>
      <c r="D425" s="14" t="s">
        <v>141</v>
      </c>
      <c r="E425" s="12">
        <f>Table1[[#This Row],[QUANTITY]]-Table1[[#This Row],[CONSUMPTION]]</f>
        <v>1</v>
      </c>
      <c r="F425" s="12">
        <v>1</v>
      </c>
      <c r="G425" s="1" t="s">
        <v>40</v>
      </c>
      <c r="H425" s="10"/>
      <c r="I425" s="32">
        <f t="shared" si="6"/>
        <v>0</v>
      </c>
      <c r="J425" s="4" t="s">
        <v>8</v>
      </c>
      <c r="K425" s="1" t="s">
        <v>591</v>
      </c>
      <c r="L425" s="10"/>
      <c r="M425" s="10"/>
    </row>
    <row r="426" spans="1:13" ht="15" customHeight="1" x14ac:dyDescent="0.25">
      <c r="A426" s="9">
        <v>412</v>
      </c>
      <c r="B426" s="34"/>
      <c r="C426" s="11" t="s">
        <v>596</v>
      </c>
      <c r="D426" s="14" t="s">
        <v>141</v>
      </c>
      <c r="E426" s="12">
        <f>Table1[[#This Row],[QUANTITY]]-Table1[[#This Row],[CONSUMPTION]]</f>
        <v>2</v>
      </c>
      <c r="F426" s="12">
        <v>2</v>
      </c>
      <c r="G426" s="1" t="s">
        <v>40</v>
      </c>
      <c r="H426" s="10"/>
      <c r="I426" s="32">
        <f t="shared" si="6"/>
        <v>0</v>
      </c>
      <c r="J426" s="4" t="s">
        <v>8</v>
      </c>
      <c r="K426" s="1" t="s">
        <v>591</v>
      </c>
      <c r="L426" s="10"/>
      <c r="M426" s="10"/>
    </row>
    <row r="427" spans="1:13" ht="15" customHeight="1" x14ac:dyDescent="0.25">
      <c r="A427" s="7">
        <v>413</v>
      </c>
      <c r="B427" s="34"/>
      <c r="C427" s="11" t="s">
        <v>597</v>
      </c>
      <c r="D427" s="14" t="s">
        <v>141</v>
      </c>
      <c r="E427" s="12">
        <f>Table1[[#This Row],[QUANTITY]]-Table1[[#This Row],[CONSUMPTION]]</f>
        <v>1</v>
      </c>
      <c r="F427" s="12">
        <v>1</v>
      </c>
      <c r="G427" s="1" t="s">
        <v>40</v>
      </c>
      <c r="H427" s="10"/>
      <c r="I427" s="32">
        <f t="shared" si="6"/>
        <v>0</v>
      </c>
      <c r="J427" s="4" t="s">
        <v>8</v>
      </c>
      <c r="K427" s="1" t="s">
        <v>591</v>
      </c>
      <c r="L427" s="10"/>
      <c r="M427" s="10"/>
    </row>
    <row r="428" spans="1:13" ht="15" customHeight="1" x14ac:dyDescent="0.25">
      <c r="A428" s="9">
        <v>414</v>
      </c>
      <c r="B428" s="34"/>
      <c r="C428" s="11" t="s">
        <v>598</v>
      </c>
      <c r="D428" s="14" t="s">
        <v>141</v>
      </c>
      <c r="E428" s="12">
        <f>Table1[[#This Row],[QUANTITY]]-Table1[[#This Row],[CONSUMPTION]]</f>
        <v>1</v>
      </c>
      <c r="F428" s="12">
        <v>1</v>
      </c>
      <c r="G428" s="1" t="s">
        <v>40</v>
      </c>
      <c r="H428" s="10"/>
      <c r="I428" s="32">
        <f t="shared" si="6"/>
        <v>0</v>
      </c>
      <c r="J428" s="10" t="s">
        <v>8</v>
      </c>
      <c r="K428" s="12" t="s">
        <v>591</v>
      </c>
      <c r="L428" s="10"/>
      <c r="M428" s="10"/>
    </row>
    <row r="429" spans="1:13" ht="15" customHeight="1" x14ac:dyDescent="0.25">
      <c r="A429" s="9">
        <v>415</v>
      </c>
      <c r="B429" s="33"/>
      <c r="C429" s="11" t="s">
        <v>599</v>
      </c>
      <c r="D429" s="14" t="s">
        <v>141</v>
      </c>
      <c r="E429" s="12">
        <f>Table1[[#This Row],[QUANTITY]]-Table1[[#This Row],[CONSUMPTION]]</f>
        <v>2</v>
      </c>
      <c r="F429" s="1">
        <v>2</v>
      </c>
      <c r="G429" s="1" t="s">
        <v>40</v>
      </c>
      <c r="H429" s="4"/>
      <c r="I429" s="32">
        <f t="shared" si="6"/>
        <v>0</v>
      </c>
      <c r="J429" s="10" t="s">
        <v>8</v>
      </c>
      <c r="K429" s="12" t="s">
        <v>591</v>
      </c>
      <c r="L429" s="4"/>
      <c r="M429" s="4"/>
    </row>
    <row r="430" spans="1:13" ht="15" customHeight="1" x14ac:dyDescent="0.25">
      <c r="A430" s="9">
        <v>416</v>
      </c>
      <c r="B430" s="33"/>
      <c r="C430" s="11" t="s">
        <v>600</v>
      </c>
      <c r="D430" s="14" t="s">
        <v>141</v>
      </c>
      <c r="E430" s="40">
        <f>Table1[[#This Row],[QUANTITY]]-Table1[[#This Row],[CONSUMPTION]]</f>
        <v>2</v>
      </c>
      <c r="F430" s="1">
        <v>2</v>
      </c>
      <c r="G430" s="1" t="s">
        <v>40</v>
      </c>
      <c r="H430" s="4"/>
      <c r="I430" s="32">
        <f t="shared" si="6"/>
        <v>0</v>
      </c>
      <c r="J430" s="10" t="s">
        <v>8</v>
      </c>
      <c r="K430" s="12" t="s">
        <v>591</v>
      </c>
      <c r="L430" s="4"/>
      <c r="M430" s="4"/>
    </row>
    <row r="431" spans="1:13" ht="15" customHeight="1" x14ac:dyDescent="0.25">
      <c r="A431" s="9">
        <v>417</v>
      </c>
      <c r="B431" s="33"/>
      <c r="C431" s="11" t="s">
        <v>601</v>
      </c>
      <c r="D431" s="14" t="s">
        <v>141</v>
      </c>
      <c r="E431" s="40">
        <f>Table1[[#This Row],[QUANTITY]]-Table1[[#This Row],[CONSUMPTION]]</f>
        <v>2</v>
      </c>
      <c r="F431" s="1">
        <v>2</v>
      </c>
      <c r="G431" s="1" t="s">
        <v>40</v>
      </c>
      <c r="H431" s="4"/>
      <c r="I431" s="32">
        <f t="shared" si="6"/>
        <v>0</v>
      </c>
      <c r="J431" s="10" t="s">
        <v>8</v>
      </c>
      <c r="K431" s="12" t="s">
        <v>591</v>
      </c>
      <c r="L431" s="4"/>
      <c r="M431" s="4"/>
    </row>
    <row r="432" spans="1:13" ht="15" customHeight="1" x14ac:dyDescent="0.25">
      <c r="A432" s="9">
        <v>418</v>
      </c>
      <c r="B432" s="33"/>
      <c r="C432" s="11" t="s">
        <v>602</v>
      </c>
      <c r="D432" s="14" t="s">
        <v>141</v>
      </c>
      <c r="E432" s="40">
        <f>Table1[[#This Row],[QUANTITY]]-Table1[[#This Row],[CONSUMPTION]]</f>
        <v>1</v>
      </c>
      <c r="F432" s="1">
        <v>1</v>
      </c>
      <c r="G432" s="1" t="s">
        <v>40</v>
      </c>
      <c r="H432" s="4"/>
      <c r="I432" s="32">
        <f t="shared" si="6"/>
        <v>0</v>
      </c>
      <c r="J432" s="10" t="s">
        <v>8</v>
      </c>
      <c r="K432" s="12" t="s">
        <v>591</v>
      </c>
      <c r="L432" s="4"/>
      <c r="M432" s="4"/>
    </row>
    <row r="433" spans="1:13" ht="15" customHeight="1" x14ac:dyDescent="0.25">
      <c r="A433" s="7">
        <v>419</v>
      </c>
      <c r="B433" s="33"/>
      <c r="C433" s="11" t="s">
        <v>603</v>
      </c>
      <c r="D433" s="14" t="s">
        <v>141</v>
      </c>
      <c r="E433" s="40">
        <f>Table1[[#This Row],[QUANTITY]]-Table1[[#This Row],[CONSUMPTION]]</f>
        <v>1</v>
      </c>
      <c r="F433" s="1">
        <v>1</v>
      </c>
      <c r="G433" s="1" t="s">
        <v>40</v>
      </c>
      <c r="H433" s="4"/>
      <c r="I433" s="32">
        <f t="shared" si="6"/>
        <v>0</v>
      </c>
      <c r="J433" s="10" t="s">
        <v>8</v>
      </c>
      <c r="K433" s="12" t="s">
        <v>591</v>
      </c>
      <c r="L433" s="4"/>
      <c r="M433" s="4"/>
    </row>
    <row r="434" spans="1:13" ht="15" customHeight="1" x14ac:dyDescent="0.25">
      <c r="A434" s="9">
        <v>420</v>
      </c>
      <c r="B434" s="33"/>
      <c r="C434" s="11" t="s">
        <v>604</v>
      </c>
      <c r="D434" s="14" t="s">
        <v>141</v>
      </c>
      <c r="E434" s="40">
        <f>Table1[[#This Row],[QUANTITY]]-Table1[[#This Row],[CONSUMPTION]]</f>
        <v>1</v>
      </c>
      <c r="F434" s="1">
        <v>1</v>
      </c>
      <c r="G434" s="1" t="s">
        <v>40</v>
      </c>
      <c r="H434" s="4"/>
      <c r="I434" s="32">
        <f t="shared" si="6"/>
        <v>0</v>
      </c>
      <c r="J434" s="10" t="s">
        <v>8</v>
      </c>
      <c r="K434" s="12" t="s">
        <v>591</v>
      </c>
      <c r="L434" s="4"/>
      <c r="M434" s="4"/>
    </row>
    <row r="435" spans="1:13" ht="15" customHeight="1" x14ac:dyDescent="0.25">
      <c r="A435" s="9">
        <v>421</v>
      </c>
      <c r="B435" s="33"/>
      <c r="C435" s="11" t="s">
        <v>605</v>
      </c>
      <c r="D435" s="14" t="s">
        <v>141</v>
      </c>
      <c r="E435" s="40">
        <f>Table1[[#This Row],[QUANTITY]]-Table1[[#This Row],[CONSUMPTION]]</f>
        <v>1</v>
      </c>
      <c r="F435" s="1">
        <v>1</v>
      </c>
      <c r="G435" s="1" t="s">
        <v>40</v>
      </c>
      <c r="H435" s="4"/>
      <c r="I435" s="32">
        <f t="shared" si="6"/>
        <v>0</v>
      </c>
      <c r="J435" s="10" t="s">
        <v>8</v>
      </c>
      <c r="K435" s="12" t="s">
        <v>591</v>
      </c>
      <c r="L435" s="4"/>
      <c r="M435" s="4"/>
    </row>
    <row r="436" spans="1:13" ht="15" customHeight="1" x14ac:dyDescent="0.25">
      <c r="A436" s="9">
        <v>422</v>
      </c>
      <c r="B436" s="33"/>
      <c r="C436" s="2" t="s">
        <v>606</v>
      </c>
      <c r="D436" s="14" t="s">
        <v>141</v>
      </c>
      <c r="E436" s="12">
        <f>Table1[[#This Row],[QUANTITY]]-Table1[[#This Row],[CONSUMPTION]]</f>
        <v>1</v>
      </c>
      <c r="F436" s="1">
        <v>1</v>
      </c>
      <c r="G436" s="1" t="s">
        <v>40</v>
      </c>
      <c r="H436" s="4"/>
      <c r="I436" s="32">
        <f t="shared" si="6"/>
        <v>0</v>
      </c>
      <c r="J436" s="10" t="s">
        <v>8</v>
      </c>
      <c r="K436" s="12" t="s">
        <v>591</v>
      </c>
      <c r="L436" s="4"/>
      <c r="M436" s="4"/>
    </row>
    <row r="437" spans="1:13" ht="15" customHeight="1" x14ac:dyDescent="0.25">
      <c r="A437" s="7">
        <v>423</v>
      </c>
      <c r="B437" s="33"/>
      <c r="C437" s="2" t="s">
        <v>607</v>
      </c>
      <c r="D437" s="14" t="s">
        <v>141</v>
      </c>
      <c r="E437" s="40">
        <f>Table1[[#This Row],[QUANTITY]]-Table1[[#This Row],[CONSUMPTION]]</f>
        <v>1</v>
      </c>
      <c r="F437" s="1">
        <v>1</v>
      </c>
      <c r="G437" s="1" t="s">
        <v>40</v>
      </c>
      <c r="H437" s="4"/>
      <c r="I437" s="32">
        <f t="shared" si="6"/>
        <v>0</v>
      </c>
      <c r="J437" s="10" t="s">
        <v>8</v>
      </c>
      <c r="K437" s="12" t="s">
        <v>591</v>
      </c>
      <c r="L437" s="4"/>
      <c r="M437" s="4"/>
    </row>
    <row r="438" spans="1:13" ht="15" customHeight="1" x14ac:dyDescent="0.25">
      <c r="A438" s="9">
        <v>424</v>
      </c>
      <c r="B438" s="33"/>
      <c r="C438" s="2" t="s">
        <v>608</v>
      </c>
      <c r="D438" s="14" t="s">
        <v>141</v>
      </c>
      <c r="E438" s="40">
        <f>Table1[[#This Row],[QUANTITY]]-Table1[[#This Row],[CONSUMPTION]]</f>
        <v>1</v>
      </c>
      <c r="F438" s="1">
        <v>1</v>
      </c>
      <c r="G438" s="1" t="s">
        <v>40</v>
      </c>
      <c r="H438" s="4"/>
      <c r="I438" s="32">
        <f t="shared" si="6"/>
        <v>0</v>
      </c>
      <c r="J438" s="10" t="s">
        <v>8</v>
      </c>
      <c r="K438" s="12" t="s">
        <v>591</v>
      </c>
      <c r="L438" s="4"/>
      <c r="M438" s="4"/>
    </row>
    <row r="439" spans="1:13" ht="15" customHeight="1" x14ac:dyDescent="0.25">
      <c r="A439" s="9">
        <v>425</v>
      </c>
      <c r="B439" s="33"/>
      <c r="C439" s="2" t="s">
        <v>609</v>
      </c>
      <c r="D439" s="14" t="s">
        <v>610</v>
      </c>
      <c r="E439" s="40">
        <f>Table1[[#This Row],[QUANTITY]]-Table1[[#This Row],[CONSUMPTION]]</f>
        <v>2</v>
      </c>
      <c r="F439" s="1">
        <v>2</v>
      </c>
      <c r="G439" s="1" t="s">
        <v>40</v>
      </c>
      <c r="H439" s="4"/>
      <c r="I439" s="32">
        <f t="shared" si="6"/>
        <v>0</v>
      </c>
      <c r="J439" s="10" t="s">
        <v>20</v>
      </c>
      <c r="K439" s="12" t="s">
        <v>241</v>
      </c>
      <c r="L439" s="4"/>
      <c r="M439" s="4"/>
    </row>
    <row r="440" spans="1:13" ht="15" customHeight="1" x14ac:dyDescent="0.25">
      <c r="A440" s="9">
        <v>426</v>
      </c>
      <c r="B440" s="2">
        <v>401615050156</v>
      </c>
      <c r="C440" s="2" t="s">
        <v>611</v>
      </c>
      <c r="D440" s="14" t="s">
        <v>178</v>
      </c>
      <c r="E440" s="40">
        <f>Table1[[#This Row],[QUANTITY]]-Table1[[#This Row],[CONSUMPTION]]</f>
        <v>1</v>
      </c>
      <c r="F440" s="1">
        <v>2</v>
      </c>
      <c r="G440" s="1" t="s">
        <v>40</v>
      </c>
      <c r="H440" s="4"/>
      <c r="I440" s="32">
        <f t="shared" si="6"/>
        <v>0</v>
      </c>
      <c r="J440" s="10" t="s">
        <v>9</v>
      </c>
      <c r="K440" s="12" t="s">
        <v>253</v>
      </c>
      <c r="L440" s="4">
        <v>1</v>
      </c>
      <c r="M440" s="4"/>
    </row>
    <row r="441" spans="1:13" ht="15" customHeight="1" x14ac:dyDescent="0.25">
      <c r="A441" s="7">
        <v>427</v>
      </c>
      <c r="B441" s="34"/>
      <c r="C441" s="11" t="s">
        <v>612</v>
      </c>
      <c r="D441" s="14" t="s">
        <v>261</v>
      </c>
      <c r="E441" s="40">
        <f>Table1[[#This Row],[QUANTITY]]-Table1[[#This Row],[CONSUMPTION]]</f>
        <v>1</v>
      </c>
      <c r="F441" s="12">
        <v>1</v>
      </c>
      <c r="G441" s="1" t="s">
        <v>40</v>
      </c>
      <c r="H441" s="10"/>
      <c r="I441" s="32">
        <f t="shared" si="6"/>
        <v>0</v>
      </c>
      <c r="J441" s="10" t="s">
        <v>9</v>
      </c>
      <c r="K441" s="12" t="s">
        <v>253</v>
      </c>
      <c r="L441" s="10"/>
      <c r="M441" s="10"/>
    </row>
    <row r="442" spans="1:13" ht="15" customHeight="1" x14ac:dyDescent="0.25">
      <c r="A442" s="9">
        <v>428</v>
      </c>
      <c r="B442" s="33"/>
      <c r="C442" s="2" t="s">
        <v>613</v>
      </c>
      <c r="D442" s="14" t="s">
        <v>614</v>
      </c>
      <c r="E442" s="12">
        <f>Table1[[#This Row],[QUANTITY]]-Table1[[#This Row],[CONSUMPTION]]</f>
        <v>1</v>
      </c>
      <c r="F442" s="1">
        <v>1</v>
      </c>
      <c r="G442" s="1" t="s">
        <v>40</v>
      </c>
      <c r="H442" s="4"/>
      <c r="I442" s="32">
        <f t="shared" si="6"/>
        <v>0</v>
      </c>
      <c r="J442" s="10" t="s">
        <v>9</v>
      </c>
      <c r="K442" s="12" t="s">
        <v>253</v>
      </c>
      <c r="L442" s="4"/>
      <c r="M442" s="4"/>
    </row>
    <row r="443" spans="1:13" ht="15" customHeight="1" x14ac:dyDescent="0.25">
      <c r="A443" s="9">
        <v>429</v>
      </c>
      <c r="B443" s="33"/>
      <c r="C443" s="2" t="s">
        <v>615</v>
      </c>
      <c r="D443" s="14" t="s">
        <v>616</v>
      </c>
      <c r="E443" s="40">
        <f>Table1[[#This Row],[QUANTITY]]-Table1[[#This Row],[CONSUMPTION]]</f>
        <v>1</v>
      </c>
      <c r="F443" s="1">
        <v>1</v>
      </c>
      <c r="G443" s="1" t="s">
        <v>40</v>
      </c>
      <c r="H443" s="4"/>
      <c r="I443" s="32">
        <f t="shared" si="6"/>
        <v>0</v>
      </c>
      <c r="J443" s="10" t="s">
        <v>9</v>
      </c>
      <c r="K443" s="12" t="s">
        <v>253</v>
      </c>
      <c r="L443" s="4"/>
      <c r="M443" s="4"/>
    </row>
    <row r="444" spans="1:13" ht="15" customHeight="1" x14ac:dyDescent="0.25">
      <c r="A444" s="9">
        <v>430</v>
      </c>
      <c r="B444" s="33"/>
      <c r="C444" s="2" t="s">
        <v>617</v>
      </c>
      <c r="D444" s="14" t="s">
        <v>618</v>
      </c>
      <c r="E444" s="40">
        <f>Table1[[#This Row],[QUANTITY]]-Table1[[#This Row],[CONSUMPTION]]</f>
        <v>0</v>
      </c>
      <c r="F444" s="1">
        <v>2</v>
      </c>
      <c r="G444" s="1" t="s">
        <v>40</v>
      </c>
      <c r="H444" s="4"/>
      <c r="I444" s="32">
        <f t="shared" si="6"/>
        <v>0</v>
      </c>
      <c r="J444" s="10" t="s">
        <v>619</v>
      </c>
      <c r="K444" s="12" t="s">
        <v>276</v>
      </c>
      <c r="L444" s="4">
        <v>2</v>
      </c>
      <c r="M444" s="4" t="s">
        <v>620</v>
      </c>
    </row>
    <row r="445" spans="1:13" ht="15" customHeight="1" x14ac:dyDescent="0.25">
      <c r="A445" s="7">
        <v>431</v>
      </c>
      <c r="B445" s="2">
        <v>401615000511</v>
      </c>
      <c r="C445" s="11" t="s">
        <v>621</v>
      </c>
      <c r="D445" s="14" t="s">
        <v>622</v>
      </c>
      <c r="E445" s="40">
        <f>Table1[[#This Row],[QUANTITY]]-Table1[[#This Row],[CONSUMPTION]]</f>
        <v>1</v>
      </c>
      <c r="F445" s="12">
        <v>2</v>
      </c>
      <c r="G445" s="1" t="s">
        <v>40</v>
      </c>
      <c r="H445" s="10"/>
      <c r="I445" s="32">
        <f t="shared" si="6"/>
        <v>0</v>
      </c>
      <c r="J445" s="10" t="s">
        <v>9</v>
      </c>
      <c r="K445" s="12" t="s">
        <v>253</v>
      </c>
      <c r="L445" s="10">
        <v>1</v>
      </c>
      <c r="M445" s="10"/>
    </row>
    <row r="446" spans="1:13" ht="15" customHeight="1" x14ac:dyDescent="0.25">
      <c r="A446" s="9">
        <v>432</v>
      </c>
      <c r="B446" s="34"/>
      <c r="C446" s="11" t="s">
        <v>623</v>
      </c>
      <c r="D446" s="14" t="s">
        <v>624</v>
      </c>
      <c r="E446" s="12">
        <f>Table1[[#This Row],[QUANTITY]]-Table1[[#This Row],[CONSUMPTION]]</f>
        <v>1</v>
      </c>
      <c r="F446" s="12">
        <v>1</v>
      </c>
      <c r="G446" s="1" t="s">
        <v>365</v>
      </c>
      <c r="H446" s="10"/>
      <c r="I446" s="32">
        <f t="shared" si="6"/>
        <v>0</v>
      </c>
      <c r="J446" s="4" t="s">
        <v>7</v>
      </c>
      <c r="K446" s="12">
        <v>22</v>
      </c>
      <c r="L446" s="10"/>
      <c r="M446" s="10"/>
    </row>
    <row r="447" spans="1:13" ht="15" customHeight="1" x14ac:dyDescent="0.25">
      <c r="A447" s="9">
        <v>433</v>
      </c>
      <c r="B447" s="34"/>
      <c r="C447" s="11" t="s">
        <v>625</v>
      </c>
      <c r="D447" s="14" t="s">
        <v>624</v>
      </c>
      <c r="E447" s="12">
        <f>Table1[[#This Row],[QUANTITY]]-Table1[[#This Row],[CONSUMPTION]]</f>
        <v>1</v>
      </c>
      <c r="F447" s="12">
        <v>1</v>
      </c>
      <c r="G447" s="1" t="s">
        <v>365</v>
      </c>
      <c r="H447" s="10"/>
      <c r="I447" s="32">
        <f t="shared" si="6"/>
        <v>0</v>
      </c>
      <c r="J447" s="4" t="s">
        <v>7</v>
      </c>
      <c r="K447" s="12">
        <v>22</v>
      </c>
      <c r="L447" s="10"/>
      <c r="M447" s="10"/>
    </row>
    <row r="448" spans="1:13" ht="15" customHeight="1" x14ac:dyDescent="0.25">
      <c r="A448" s="9">
        <v>434</v>
      </c>
      <c r="B448" s="34"/>
      <c r="C448" s="11" t="s">
        <v>626</v>
      </c>
      <c r="D448" s="14" t="s">
        <v>624</v>
      </c>
      <c r="E448" s="12">
        <f>Table1[[#This Row],[QUANTITY]]-Table1[[#This Row],[CONSUMPTION]]</f>
        <v>1</v>
      </c>
      <c r="F448" s="12">
        <v>1</v>
      </c>
      <c r="G448" s="1" t="s">
        <v>365</v>
      </c>
      <c r="H448" s="10"/>
      <c r="I448" s="32">
        <f t="shared" si="6"/>
        <v>0</v>
      </c>
      <c r="J448" s="4" t="s">
        <v>7</v>
      </c>
      <c r="K448" s="12">
        <v>22</v>
      </c>
      <c r="L448" s="10"/>
      <c r="M448" s="10"/>
    </row>
    <row r="449" spans="1:13" ht="15" customHeight="1" x14ac:dyDescent="0.25">
      <c r="A449" s="7">
        <v>435</v>
      </c>
      <c r="B449" s="34"/>
      <c r="C449" s="11" t="s">
        <v>627</v>
      </c>
      <c r="D449" s="14" t="s">
        <v>624</v>
      </c>
      <c r="E449" s="12">
        <f>Table1[[#This Row],[QUANTITY]]-Table1[[#This Row],[CONSUMPTION]]</f>
        <v>1</v>
      </c>
      <c r="F449" s="12">
        <v>1</v>
      </c>
      <c r="G449" s="1" t="s">
        <v>365</v>
      </c>
      <c r="H449" s="10"/>
      <c r="I449" s="32">
        <f t="shared" si="6"/>
        <v>0</v>
      </c>
      <c r="J449" s="4" t="s">
        <v>7</v>
      </c>
      <c r="K449" s="12">
        <v>22</v>
      </c>
      <c r="L449" s="10"/>
      <c r="M449" s="10"/>
    </row>
    <row r="450" spans="1:13" ht="15" customHeight="1" x14ac:dyDescent="0.25">
      <c r="A450" s="9">
        <v>436</v>
      </c>
      <c r="B450" s="34"/>
      <c r="C450" s="11" t="s">
        <v>628</v>
      </c>
      <c r="D450" s="14" t="s">
        <v>624</v>
      </c>
      <c r="E450" s="12">
        <f>Table1[[#This Row],[QUANTITY]]-Table1[[#This Row],[CONSUMPTION]]</f>
        <v>1</v>
      </c>
      <c r="F450" s="12">
        <v>1</v>
      </c>
      <c r="G450" s="1" t="s">
        <v>365</v>
      </c>
      <c r="H450" s="10"/>
      <c r="I450" s="32">
        <f t="shared" si="6"/>
        <v>0</v>
      </c>
      <c r="J450" s="4" t="s">
        <v>7</v>
      </c>
      <c r="K450" s="12">
        <v>22</v>
      </c>
      <c r="L450" s="10"/>
      <c r="M450" s="10"/>
    </row>
    <row r="451" spans="1:13" ht="15" customHeight="1" x14ac:dyDescent="0.25">
      <c r="A451" s="9">
        <v>437</v>
      </c>
      <c r="B451" s="34"/>
      <c r="C451" s="11" t="s">
        <v>629</v>
      </c>
      <c r="D451" s="14" t="s">
        <v>624</v>
      </c>
      <c r="E451" s="12">
        <f>Table1[[#This Row],[QUANTITY]]-Table1[[#This Row],[CONSUMPTION]]</f>
        <v>1</v>
      </c>
      <c r="F451" s="12">
        <v>1</v>
      </c>
      <c r="G451" s="1" t="s">
        <v>365</v>
      </c>
      <c r="H451" s="10"/>
      <c r="I451" s="32">
        <f t="shared" si="6"/>
        <v>0</v>
      </c>
      <c r="J451" s="10" t="s">
        <v>7</v>
      </c>
      <c r="K451" s="12">
        <v>22</v>
      </c>
      <c r="L451" s="10"/>
      <c r="M451" s="10"/>
    </row>
    <row r="452" spans="1:13" ht="15" customHeight="1" x14ac:dyDescent="0.25">
      <c r="A452" s="9">
        <v>438</v>
      </c>
      <c r="B452" s="34"/>
      <c r="C452" s="11" t="s">
        <v>630</v>
      </c>
      <c r="D452" s="14" t="s">
        <v>624</v>
      </c>
      <c r="E452" s="12">
        <f>Table1[[#This Row],[QUANTITY]]-Table1[[#This Row],[CONSUMPTION]]</f>
        <v>1</v>
      </c>
      <c r="F452" s="12">
        <v>1</v>
      </c>
      <c r="G452" s="1" t="s">
        <v>365</v>
      </c>
      <c r="H452" s="10"/>
      <c r="I452" s="32">
        <f t="shared" si="6"/>
        <v>0</v>
      </c>
      <c r="J452" s="4" t="s">
        <v>7</v>
      </c>
      <c r="K452" s="12">
        <v>22</v>
      </c>
      <c r="L452" s="10"/>
      <c r="M452" s="10"/>
    </row>
    <row r="453" spans="1:13" ht="15" customHeight="1" x14ac:dyDescent="0.25">
      <c r="A453" s="9">
        <v>439</v>
      </c>
      <c r="B453" s="34"/>
      <c r="C453" s="11">
        <v>931590015200</v>
      </c>
      <c r="D453" s="14" t="s">
        <v>192</v>
      </c>
      <c r="E453" s="12">
        <f>Table1[[#This Row],[QUANTITY]]-Table1[[#This Row],[CONSUMPTION]]</f>
        <v>0</v>
      </c>
      <c r="F453" s="12">
        <v>2</v>
      </c>
      <c r="G453" s="12" t="s">
        <v>40</v>
      </c>
      <c r="H453" s="10"/>
      <c r="I453" s="32">
        <f t="shared" si="6"/>
        <v>0</v>
      </c>
      <c r="J453" s="10" t="s">
        <v>13</v>
      </c>
      <c r="K453" s="12" t="s">
        <v>285</v>
      </c>
      <c r="L453" s="10">
        <v>2</v>
      </c>
      <c r="M453" s="10" t="s">
        <v>289</v>
      </c>
    </row>
    <row r="454" spans="1:13" ht="15" customHeight="1" x14ac:dyDescent="0.25">
      <c r="A454" s="9">
        <v>440</v>
      </c>
      <c r="B454" s="33"/>
      <c r="C454" s="2">
        <v>931590044000</v>
      </c>
      <c r="D454" s="14" t="s">
        <v>631</v>
      </c>
      <c r="E454" s="12">
        <f>Table1[[#This Row],[QUANTITY]]-Table1[[#This Row],[CONSUMPTION]]</f>
        <v>1</v>
      </c>
      <c r="F454" s="12">
        <v>1</v>
      </c>
      <c r="G454" s="12" t="s">
        <v>40</v>
      </c>
      <c r="H454" s="4"/>
      <c r="I454" s="32">
        <f t="shared" si="6"/>
        <v>0</v>
      </c>
      <c r="J454" s="10" t="s">
        <v>13</v>
      </c>
      <c r="K454" s="12" t="s">
        <v>309</v>
      </c>
      <c r="L454" s="4"/>
      <c r="M454" s="4"/>
    </row>
    <row r="455" spans="1:13" ht="15" customHeight="1" x14ac:dyDescent="0.25">
      <c r="A455" s="7">
        <v>441</v>
      </c>
      <c r="B455" s="33"/>
      <c r="C455" s="2">
        <v>9315900439000</v>
      </c>
      <c r="D455" s="14" t="s">
        <v>178</v>
      </c>
      <c r="E455" s="40">
        <f>Table1[[#This Row],[QUANTITY]]-Table1[[#This Row],[CONSUMPTION]]</f>
        <v>1</v>
      </c>
      <c r="F455" s="12">
        <v>1</v>
      </c>
      <c r="G455" s="12" t="s">
        <v>40</v>
      </c>
      <c r="H455" s="4"/>
      <c r="I455" s="32">
        <f t="shared" si="6"/>
        <v>0</v>
      </c>
      <c r="J455" s="10" t="s">
        <v>13</v>
      </c>
      <c r="K455" s="12" t="s">
        <v>309</v>
      </c>
      <c r="L455" s="4"/>
      <c r="M455" s="4"/>
    </row>
    <row r="456" spans="1:13" ht="15" customHeight="1" x14ac:dyDescent="0.25">
      <c r="A456" s="9">
        <v>442</v>
      </c>
      <c r="B456" s="33"/>
      <c r="C456" s="2"/>
      <c r="D456" s="14" t="s">
        <v>632</v>
      </c>
      <c r="E456" s="40">
        <f>Table1[[#This Row],[QUANTITY]]-Table1[[#This Row],[CONSUMPTION]]</f>
        <v>0</v>
      </c>
      <c r="F456" s="12">
        <v>2</v>
      </c>
      <c r="G456" s="12" t="s">
        <v>40</v>
      </c>
      <c r="H456" s="4"/>
      <c r="I456" s="32">
        <f t="shared" si="6"/>
        <v>0</v>
      </c>
      <c r="J456" s="10" t="s">
        <v>5</v>
      </c>
      <c r="K456" s="12" t="s">
        <v>321</v>
      </c>
      <c r="L456" s="4">
        <v>2</v>
      </c>
      <c r="M456" s="4"/>
    </row>
    <row r="457" spans="1:13" ht="15" customHeight="1" x14ac:dyDescent="0.25">
      <c r="A457" s="9">
        <v>443</v>
      </c>
      <c r="B457" s="34"/>
      <c r="C457" s="11"/>
      <c r="D457" s="14" t="s">
        <v>633</v>
      </c>
      <c r="E457" s="40">
        <f>Table1[[#This Row],[QUANTITY]]-Table1[[#This Row],[CONSUMPTION]]</f>
        <v>1</v>
      </c>
      <c r="F457" s="12">
        <v>2</v>
      </c>
      <c r="G457" s="12" t="s">
        <v>40</v>
      </c>
      <c r="H457" s="10"/>
      <c r="I457" s="32">
        <f t="shared" si="6"/>
        <v>0</v>
      </c>
      <c r="J457" s="10" t="s">
        <v>5</v>
      </c>
      <c r="K457" s="12" t="s">
        <v>321</v>
      </c>
      <c r="L457" s="10">
        <v>1</v>
      </c>
      <c r="M457" s="10"/>
    </row>
    <row r="458" spans="1:13" ht="15" customHeight="1" x14ac:dyDescent="0.25">
      <c r="A458" s="9">
        <v>444</v>
      </c>
      <c r="B458" s="33"/>
      <c r="C458" s="11" t="s">
        <v>634</v>
      </c>
      <c r="D458" s="14" t="s">
        <v>635</v>
      </c>
      <c r="E458" s="12">
        <f>Table1[[#This Row],[QUANTITY]]-Table1[[#This Row],[CONSUMPTION]]</f>
        <v>1</v>
      </c>
      <c r="F458" s="12">
        <v>1</v>
      </c>
      <c r="G458" s="12" t="s">
        <v>40</v>
      </c>
      <c r="H458" s="4"/>
      <c r="I458" s="32">
        <f t="shared" si="6"/>
        <v>0</v>
      </c>
      <c r="J458" s="10" t="s">
        <v>20</v>
      </c>
      <c r="K458" s="12" t="s">
        <v>229</v>
      </c>
      <c r="L458" s="4"/>
      <c r="M458" s="4"/>
    </row>
    <row r="459" spans="1:13" ht="15" customHeight="1" x14ac:dyDescent="0.25">
      <c r="A459" s="7">
        <v>445</v>
      </c>
      <c r="B459" s="33"/>
      <c r="C459" s="11" t="s">
        <v>636</v>
      </c>
      <c r="D459" s="14" t="s">
        <v>637</v>
      </c>
      <c r="E459" s="40">
        <f>Table1[[#This Row],[QUANTITY]]-Table1[[#This Row],[CONSUMPTION]]</f>
        <v>2</v>
      </c>
      <c r="F459" s="12">
        <v>2</v>
      </c>
      <c r="G459" s="12" t="s">
        <v>40</v>
      </c>
      <c r="H459" s="4"/>
      <c r="I459" s="32">
        <f t="shared" si="6"/>
        <v>0</v>
      </c>
      <c r="J459" s="10" t="s">
        <v>11</v>
      </c>
      <c r="K459" s="12" t="s">
        <v>61</v>
      </c>
      <c r="L459" s="4"/>
      <c r="M459" s="4"/>
    </row>
    <row r="460" spans="1:13" ht="15" customHeight="1" x14ac:dyDescent="0.25">
      <c r="A460" s="9">
        <v>446</v>
      </c>
      <c r="B460" s="34"/>
      <c r="C460" s="11">
        <v>60197102</v>
      </c>
      <c r="D460" s="14" t="s">
        <v>638</v>
      </c>
      <c r="E460" s="12">
        <f>Table1[[#This Row],[QUANTITY]]-Table1[[#This Row],[CONSUMPTION]]</f>
        <v>0</v>
      </c>
      <c r="F460" s="12">
        <v>1</v>
      </c>
      <c r="G460" s="12" t="s">
        <v>40</v>
      </c>
      <c r="H460" s="10"/>
      <c r="I460" s="32">
        <f t="shared" si="6"/>
        <v>0</v>
      </c>
      <c r="J460" s="10" t="s">
        <v>5</v>
      </c>
      <c r="K460" s="12" t="s">
        <v>222</v>
      </c>
      <c r="L460" s="4">
        <v>1</v>
      </c>
      <c r="M460" s="4"/>
    </row>
    <row r="461" spans="1:13" ht="15" customHeight="1" x14ac:dyDescent="0.25">
      <c r="A461" s="9">
        <v>447</v>
      </c>
      <c r="B461" s="34"/>
      <c r="C461" s="11"/>
      <c r="D461" s="14" t="s">
        <v>639</v>
      </c>
      <c r="E461" s="12">
        <f>Table1[[#This Row],[QUANTITY]]-Table1[[#This Row],[CONSUMPTION]]</f>
        <v>2</v>
      </c>
      <c r="F461" s="12">
        <v>2</v>
      </c>
      <c r="G461" s="12" t="s">
        <v>40</v>
      </c>
      <c r="H461" s="10"/>
      <c r="I461" s="32">
        <f t="shared" si="6"/>
        <v>0</v>
      </c>
      <c r="J461" s="10" t="s">
        <v>7</v>
      </c>
      <c r="K461" s="12">
        <v>22</v>
      </c>
      <c r="L461" s="10"/>
      <c r="M461" s="10"/>
    </row>
    <row r="462" spans="1:13" ht="15" customHeight="1" x14ac:dyDescent="0.25">
      <c r="A462" s="9">
        <v>448</v>
      </c>
      <c r="B462" s="34"/>
      <c r="C462" s="11">
        <v>613024041195</v>
      </c>
      <c r="D462" s="14" t="s">
        <v>640</v>
      </c>
      <c r="E462" s="12">
        <f>Table1[[#This Row],[QUANTITY]]-Table1[[#This Row],[CONSUMPTION]]</f>
        <v>2</v>
      </c>
      <c r="F462" s="12">
        <v>2</v>
      </c>
      <c r="G462" s="12" t="s">
        <v>40</v>
      </c>
      <c r="H462" s="10"/>
      <c r="I462" s="32">
        <f t="shared" si="6"/>
        <v>0</v>
      </c>
      <c r="J462" s="10" t="s">
        <v>7</v>
      </c>
      <c r="K462" s="12">
        <v>22</v>
      </c>
      <c r="L462" s="10"/>
      <c r="M462" s="10"/>
    </row>
    <row r="463" spans="1:13" ht="15" customHeight="1" x14ac:dyDescent="0.25">
      <c r="A463" s="7">
        <v>449</v>
      </c>
      <c r="B463" s="34"/>
      <c r="C463" s="11"/>
      <c r="D463" s="14" t="s">
        <v>641</v>
      </c>
      <c r="E463" s="12">
        <f>Table1[[#This Row],[QUANTITY]]-Table1[[#This Row],[CONSUMPTION]]</f>
        <v>1</v>
      </c>
      <c r="F463" s="12">
        <v>1</v>
      </c>
      <c r="G463" s="12"/>
      <c r="H463" s="10"/>
      <c r="I463" s="32">
        <f t="shared" ref="I463:I525" si="7">H463*E463</f>
        <v>0</v>
      </c>
      <c r="J463" s="10"/>
      <c r="K463" s="12"/>
      <c r="L463" s="10"/>
      <c r="M463" s="10"/>
    </row>
    <row r="464" spans="1:13" ht="15" customHeight="1" x14ac:dyDescent="0.25">
      <c r="A464" s="9">
        <v>450</v>
      </c>
      <c r="B464" s="43">
        <v>311617270449</v>
      </c>
      <c r="C464" s="11">
        <v>932900100284</v>
      </c>
      <c r="D464" s="14" t="s">
        <v>642</v>
      </c>
      <c r="E464" s="12">
        <f>Table1[[#This Row],[QUANTITY]]-Table1[[#This Row],[CONSUMPTION]]</f>
        <v>16</v>
      </c>
      <c r="F464" s="12">
        <v>16</v>
      </c>
      <c r="G464" s="12" t="s">
        <v>40</v>
      </c>
      <c r="H464" s="10"/>
      <c r="I464" s="32">
        <f t="shared" si="7"/>
        <v>0</v>
      </c>
      <c r="J464" s="10" t="s">
        <v>13</v>
      </c>
      <c r="K464" s="12" t="s">
        <v>321</v>
      </c>
      <c r="L464" s="10"/>
      <c r="M464" s="10"/>
    </row>
    <row r="465" spans="1:13" ht="15" customHeight="1" x14ac:dyDescent="0.25">
      <c r="A465" s="9">
        <v>451</v>
      </c>
      <c r="B465" s="34"/>
      <c r="C465" s="11"/>
      <c r="D465" s="14" t="s">
        <v>643</v>
      </c>
      <c r="E465" s="12">
        <f>Table1[[#This Row],[QUANTITY]]-Table1[[#This Row],[CONSUMPTION]]</f>
        <v>20</v>
      </c>
      <c r="F465" s="12">
        <v>20</v>
      </c>
      <c r="G465" s="12" t="s">
        <v>40</v>
      </c>
      <c r="H465" s="10"/>
      <c r="I465" s="32">
        <f t="shared" si="7"/>
        <v>0</v>
      </c>
      <c r="J465" s="4" t="s">
        <v>10</v>
      </c>
      <c r="K465" s="12" t="s">
        <v>130</v>
      </c>
      <c r="L465" s="10"/>
      <c r="M465" s="10"/>
    </row>
    <row r="466" spans="1:13" ht="15" customHeight="1" x14ac:dyDescent="0.25">
      <c r="A466" s="9">
        <v>452</v>
      </c>
      <c r="B466" s="34"/>
      <c r="C466" s="11" t="s">
        <v>609</v>
      </c>
      <c r="D466" s="14" t="s">
        <v>610</v>
      </c>
      <c r="E466" s="12">
        <f>Table1[[#This Row],[QUANTITY]]-Table1[[#This Row],[CONSUMPTION]]</f>
        <v>2</v>
      </c>
      <c r="F466" s="12">
        <v>2</v>
      </c>
      <c r="G466" s="12" t="s">
        <v>40</v>
      </c>
      <c r="H466" s="10"/>
      <c r="I466" s="32">
        <f t="shared" si="7"/>
        <v>0</v>
      </c>
      <c r="J466" s="10" t="s">
        <v>20</v>
      </c>
      <c r="K466" s="12" t="s">
        <v>241</v>
      </c>
      <c r="L466" s="10"/>
      <c r="M466" s="10"/>
    </row>
    <row r="467" spans="1:13" ht="15" customHeight="1" x14ac:dyDescent="0.25">
      <c r="A467" s="9">
        <v>454</v>
      </c>
      <c r="B467" s="34"/>
      <c r="C467" s="11" t="s">
        <v>251</v>
      </c>
      <c r="D467" s="14" t="s">
        <v>273</v>
      </c>
      <c r="E467" s="12">
        <f>Table1[[#This Row],[QUANTITY]]-Table1[[#This Row],[CONSUMPTION]]</f>
        <v>1</v>
      </c>
      <c r="F467" s="12">
        <v>1</v>
      </c>
      <c r="G467" s="12" t="s">
        <v>40</v>
      </c>
      <c r="H467" s="10"/>
      <c r="I467" s="32">
        <f t="shared" si="7"/>
        <v>0</v>
      </c>
      <c r="J467" s="10" t="s">
        <v>9</v>
      </c>
      <c r="K467" s="12" t="s">
        <v>253</v>
      </c>
      <c r="L467" s="10"/>
      <c r="M467" s="10"/>
    </row>
    <row r="468" spans="1:13" ht="15" customHeight="1" x14ac:dyDescent="0.25">
      <c r="A468" s="9">
        <v>455</v>
      </c>
      <c r="B468" s="34"/>
      <c r="C468" s="11" t="s">
        <v>254</v>
      </c>
      <c r="D468" s="14" t="s">
        <v>233</v>
      </c>
      <c r="E468" s="12">
        <f>Table1[[#This Row],[QUANTITY]]-Table1[[#This Row],[CONSUMPTION]]</f>
        <v>2</v>
      </c>
      <c r="F468" s="12">
        <v>2</v>
      </c>
      <c r="G468" s="12" t="s">
        <v>40</v>
      </c>
      <c r="H468" s="10"/>
      <c r="I468" s="32">
        <f t="shared" si="7"/>
        <v>0</v>
      </c>
      <c r="J468" s="10" t="s">
        <v>9</v>
      </c>
      <c r="K468" s="12" t="s">
        <v>253</v>
      </c>
      <c r="L468" s="10"/>
      <c r="M468" s="10"/>
    </row>
    <row r="469" spans="1:13" ht="15" customHeight="1" x14ac:dyDescent="0.25">
      <c r="A469" s="9">
        <v>456</v>
      </c>
      <c r="B469" s="34"/>
      <c r="C469" s="11" t="s">
        <v>570</v>
      </c>
      <c r="D469" s="14" t="s">
        <v>141</v>
      </c>
      <c r="E469" s="12">
        <f>Table1[[#This Row],[QUANTITY]]-Table1[[#This Row],[CONSUMPTION]]</f>
        <v>4</v>
      </c>
      <c r="F469" s="12">
        <v>4</v>
      </c>
      <c r="G469" s="12" t="s">
        <v>40</v>
      </c>
      <c r="H469" s="10"/>
      <c r="I469" s="32">
        <f t="shared" si="7"/>
        <v>0</v>
      </c>
      <c r="J469" s="10" t="s">
        <v>8</v>
      </c>
      <c r="K469" s="12" t="s">
        <v>591</v>
      </c>
      <c r="L469" s="10"/>
      <c r="M469" s="10"/>
    </row>
    <row r="470" spans="1:13" ht="15" customHeight="1" x14ac:dyDescent="0.25">
      <c r="A470" s="7">
        <v>457</v>
      </c>
      <c r="B470" s="44"/>
      <c r="C470" s="11" t="s">
        <v>572</v>
      </c>
      <c r="D470" s="14" t="s">
        <v>141</v>
      </c>
      <c r="E470" s="12">
        <f>Table1[[#This Row],[QUANTITY]]-Table1[[#This Row],[CONSUMPTION]]</f>
        <v>2</v>
      </c>
      <c r="F470" s="12">
        <v>2</v>
      </c>
      <c r="G470" s="12" t="s">
        <v>40</v>
      </c>
      <c r="H470" s="10"/>
      <c r="I470" s="32">
        <f t="shared" si="7"/>
        <v>0</v>
      </c>
      <c r="J470" s="10" t="s">
        <v>8</v>
      </c>
      <c r="K470" s="12" t="s">
        <v>591</v>
      </c>
      <c r="L470" s="10"/>
      <c r="M470" s="10"/>
    </row>
    <row r="471" spans="1:13" ht="15" customHeight="1" x14ac:dyDescent="0.25">
      <c r="A471" s="9">
        <v>458</v>
      </c>
      <c r="B471" s="34"/>
      <c r="C471" s="11" t="s">
        <v>573</v>
      </c>
      <c r="D471" s="14" t="s">
        <v>141</v>
      </c>
      <c r="E471" s="12">
        <f>Table1[[#This Row],[QUANTITY]]-Table1[[#This Row],[CONSUMPTION]]</f>
        <v>2</v>
      </c>
      <c r="F471" s="12">
        <v>2</v>
      </c>
      <c r="G471" s="12" t="s">
        <v>40</v>
      </c>
      <c r="H471" s="10"/>
      <c r="I471" s="32">
        <f t="shared" si="7"/>
        <v>0</v>
      </c>
      <c r="J471" s="10" t="s">
        <v>8</v>
      </c>
      <c r="K471" s="12" t="s">
        <v>591</v>
      </c>
      <c r="L471" s="10"/>
      <c r="M471" s="10"/>
    </row>
    <row r="472" spans="1:13" ht="15" customHeight="1" x14ac:dyDescent="0.25">
      <c r="A472" s="9">
        <v>459</v>
      </c>
      <c r="B472" s="34"/>
      <c r="C472" s="11" t="s">
        <v>574</v>
      </c>
      <c r="D472" s="14" t="s">
        <v>141</v>
      </c>
      <c r="E472" s="12">
        <f>Table1[[#This Row],[QUANTITY]]-Table1[[#This Row],[CONSUMPTION]]</f>
        <v>4</v>
      </c>
      <c r="F472" s="12">
        <v>4</v>
      </c>
      <c r="G472" s="12" t="s">
        <v>40</v>
      </c>
      <c r="H472" s="10"/>
      <c r="I472" s="32">
        <f t="shared" si="7"/>
        <v>0</v>
      </c>
      <c r="J472" s="4" t="s">
        <v>8</v>
      </c>
      <c r="K472" s="12" t="s">
        <v>591</v>
      </c>
      <c r="L472" s="10"/>
      <c r="M472" s="10"/>
    </row>
    <row r="473" spans="1:13" ht="15" customHeight="1" x14ac:dyDescent="0.25">
      <c r="A473" s="9">
        <v>460</v>
      </c>
      <c r="B473" s="34"/>
      <c r="C473" s="11" t="s">
        <v>575</v>
      </c>
      <c r="D473" s="14" t="s">
        <v>141</v>
      </c>
      <c r="E473" s="12">
        <f>Table1[[#This Row],[QUANTITY]]-Table1[[#This Row],[CONSUMPTION]]</f>
        <v>1</v>
      </c>
      <c r="F473" s="12">
        <v>1</v>
      </c>
      <c r="G473" s="12" t="s">
        <v>40</v>
      </c>
      <c r="H473" s="10"/>
      <c r="I473" s="32">
        <f t="shared" si="7"/>
        <v>0</v>
      </c>
      <c r="J473" s="4" t="s">
        <v>8</v>
      </c>
      <c r="K473" s="12" t="s">
        <v>591</v>
      </c>
      <c r="L473" s="10"/>
      <c r="M473" s="10"/>
    </row>
    <row r="474" spans="1:13" ht="15" customHeight="1" x14ac:dyDescent="0.25">
      <c r="A474" s="9">
        <v>461</v>
      </c>
      <c r="B474" s="34"/>
      <c r="C474" s="11" t="s">
        <v>576</v>
      </c>
      <c r="D474" s="14" t="s">
        <v>141</v>
      </c>
      <c r="E474" s="12">
        <f>Table1[[#This Row],[QUANTITY]]-Table1[[#This Row],[CONSUMPTION]]</f>
        <v>1</v>
      </c>
      <c r="F474" s="12">
        <v>1</v>
      </c>
      <c r="G474" s="12" t="s">
        <v>40</v>
      </c>
      <c r="H474" s="10"/>
      <c r="I474" s="32">
        <f t="shared" si="7"/>
        <v>0</v>
      </c>
      <c r="J474" s="4" t="s">
        <v>8</v>
      </c>
      <c r="K474" s="12" t="s">
        <v>591</v>
      </c>
      <c r="L474" s="10"/>
      <c r="M474" s="10"/>
    </row>
    <row r="475" spans="1:13" ht="15" customHeight="1" x14ac:dyDescent="0.25">
      <c r="A475" s="9">
        <v>462</v>
      </c>
      <c r="B475" s="34"/>
      <c r="C475" s="11" t="s">
        <v>577</v>
      </c>
      <c r="D475" s="14" t="s">
        <v>141</v>
      </c>
      <c r="E475" s="12">
        <f>Table1[[#This Row],[QUANTITY]]-Table1[[#This Row],[CONSUMPTION]]</f>
        <v>3</v>
      </c>
      <c r="F475" s="12">
        <v>3</v>
      </c>
      <c r="G475" s="12" t="s">
        <v>40</v>
      </c>
      <c r="H475" s="10"/>
      <c r="I475" s="32">
        <f t="shared" si="7"/>
        <v>0</v>
      </c>
      <c r="J475" s="4" t="s">
        <v>8</v>
      </c>
      <c r="K475" s="12" t="s">
        <v>591</v>
      </c>
      <c r="L475" s="10"/>
      <c r="M475" s="10"/>
    </row>
    <row r="476" spans="1:13" ht="15" customHeight="1" x14ac:dyDescent="0.25">
      <c r="A476" s="9">
        <v>463</v>
      </c>
      <c r="B476" s="34"/>
      <c r="C476" s="11" t="s">
        <v>578</v>
      </c>
      <c r="D476" s="14" t="s">
        <v>141</v>
      </c>
      <c r="E476" s="12">
        <f>Table1[[#This Row],[QUANTITY]]-Table1[[#This Row],[CONSUMPTION]]</f>
        <v>2</v>
      </c>
      <c r="F476" s="12">
        <v>2</v>
      </c>
      <c r="G476" s="12" t="s">
        <v>40</v>
      </c>
      <c r="H476" s="10"/>
      <c r="I476" s="32">
        <f t="shared" si="7"/>
        <v>0</v>
      </c>
      <c r="J476" s="10" t="s">
        <v>8</v>
      </c>
      <c r="K476" s="12" t="s">
        <v>591</v>
      </c>
      <c r="L476" s="10"/>
      <c r="M476" s="10"/>
    </row>
    <row r="477" spans="1:13" ht="15" customHeight="1" x14ac:dyDescent="0.25">
      <c r="A477" s="7">
        <v>464</v>
      </c>
      <c r="B477" s="34"/>
      <c r="C477" s="11" t="s">
        <v>579</v>
      </c>
      <c r="D477" s="14" t="s">
        <v>141</v>
      </c>
      <c r="E477" s="12">
        <f>Table1[[#This Row],[QUANTITY]]-Table1[[#This Row],[CONSUMPTION]]</f>
        <v>2</v>
      </c>
      <c r="F477" s="12">
        <v>2</v>
      </c>
      <c r="G477" s="12" t="s">
        <v>40</v>
      </c>
      <c r="H477" s="10"/>
      <c r="I477" s="32">
        <f t="shared" si="7"/>
        <v>0</v>
      </c>
      <c r="J477" s="10" t="s">
        <v>8</v>
      </c>
      <c r="K477" s="12" t="s">
        <v>591</v>
      </c>
      <c r="L477" s="10"/>
      <c r="M477" s="10"/>
    </row>
    <row r="478" spans="1:13" ht="15" customHeight="1" x14ac:dyDescent="0.25">
      <c r="A478" s="9">
        <v>465</v>
      </c>
      <c r="B478" s="34"/>
      <c r="C478" s="11" t="s">
        <v>580</v>
      </c>
      <c r="D478" s="14" t="s">
        <v>141</v>
      </c>
      <c r="E478" s="12">
        <f>Table1[[#This Row],[QUANTITY]]-Table1[[#This Row],[CONSUMPTION]]</f>
        <v>2</v>
      </c>
      <c r="F478" s="12">
        <v>2</v>
      </c>
      <c r="G478" s="12" t="s">
        <v>40</v>
      </c>
      <c r="H478" s="10"/>
      <c r="I478" s="32">
        <f t="shared" si="7"/>
        <v>0</v>
      </c>
      <c r="J478" s="10" t="s">
        <v>8</v>
      </c>
      <c r="K478" s="12" t="s">
        <v>591</v>
      </c>
      <c r="L478" s="10"/>
      <c r="M478" s="10"/>
    </row>
    <row r="479" spans="1:13" ht="15" customHeight="1" x14ac:dyDescent="0.25">
      <c r="A479" s="9">
        <v>466</v>
      </c>
      <c r="B479" s="34"/>
      <c r="C479" s="11" t="s">
        <v>581</v>
      </c>
      <c r="D479" s="14" t="s">
        <v>141</v>
      </c>
      <c r="E479" s="12">
        <f>Table1[[#This Row],[QUANTITY]]-Table1[[#This Row],[CONSUMPTION]]</f>
        <v>2</v>
      </c>
      <c r="F479" s="12">
        <v>2</v>
      </c>
      <c r="G479" s="12" t="s">
        <v>40</v>
      </c>
      <c r="H479" s="10"/>
      <c r="I479" s="32">
        <f t="shared" si="7"/>
        <v>0</v>
      </c>
      <c r="J479" s="10" t="s">
        <v>8</v>
      </c>
      <c r="K479" s="12" t="s">
        <v>591</v>
      </c>
      <c r="L479" s="10"/>
      <c r="M479" s="10"/>
    </row>
    <row r="480" spans="1:13" ht="15" customHeight="1" x14ac:dyDescent="0.25">
      <c r="A480" s="9">
        <v>467</v>
      </c>
      <c r="B480" s="34"/>
      <c r="C480" s="11" t="s">
        <v>582</v>
      </c>
      <c r="D480" s="14" t="s">
        <v>141</v>
      </c>
      <c r="E480" s="12">
        <f>Table1[[#This Row],[QUANTITY]]-Table1[[#This Row],[CONSUMPTION]]</f>
        <v>4</v>
      </c>
      <c r="F480" s="12">
        <v>4</v>
      </c>
      <c r="G480" s="12" t="s">
        <v>40</v>
      </c>
      <c r="H480" s="10"/>
      <c r="I480" s="32">
        <f t="shared" si="7"/>
        <v>0</v>
      </c>
      <c r="J480" s="10" t="s">
        <v>8</v>
      </c>
      <c r="K480" s="12" t="s">
        <v>591</v>
      </c>
      <c r="L480" s="10"/>
      <c r="M480" s="10"/>
    </row>
    <row r="481" spans="1:13" ht="15" customHeight="1" x14ac:dyDescent="0.25">
      <c r="A481" s="7">
        <v>468</v>
      </c>
      <c r="B481" s="34"/>
      <c r="C481" s="11" t="s">
        <v>583</v>
      </c>
      <c r="D481" s="14" t="s">
        <v>141</v>
      </c>
      <c r="E481" s="12">
        <f>Table1[[#This Row],[QUANTITY]]-Table1[[#This Row],[CONSUMPTION]]</f>
        <v>2</v>
      </c>
      <c r="F481" s="12">
        <v>2</v>
      </c>
      <c r="G481" s="12" t="s">
        <v>40</v>
      </c>
      <c r="H481" s="10"/>
      <c r="I481" s="32">
        <f t="shared" si="7"/>
        <v>0</v>
      </c>
      <c r="J481" s="10" t="s">
        <v>8</v>
      </c>
      <c r="K481" s="12" t="s">
        <v>591</v>
      </c>
      <c r="L481" s="10"/>
      <c r="M481" s="10"/>
    </row>
    <row r="482" spans="1:13" ht="15" customHeight="1" x14ac:dyDescent="0.25">
      <c r="A482" s="9">
        <v>469</v>
      </c>
      <c r="B482" s="34"/>
      <c r="C482" s="11" t="s">
        <v>644</v>
      </c>
      <c r="D482" s="14" t="s">
        <v>141</v>
      </c>
      <c r="E482" s="12">
        <f>Table1[[#This Row],[QUANTITY]]-Table1[[#This Row],[CONSUMPTION]]</f>
        <v>2</v>
      </c>
      <c r="F482" s="12">
        <v>2</v>
      </c>
      <c r="G482" s="12" t="s">
        <v>40</v>
      </c>
      <c r="H482" s="10"/>
      <c r="I482" s="32">
        <f t="shared" si="7"/>
        <v>0</v>
      </c>
      <c r="J482" s="10" t="s">
        <v>8</v>
      </c>
      <c r="K482" s="12" t="s">
        <v>591</v>
      </c>
      <c r="L482" s="10"/>
      <c r="M482" s="10"/>
    </row>
    <row r="483" spans="1:13" ht="15" customHeight="1" x14ac:dyDescent="0.25">
      <c r="A483" s="9">
        <v>470</v>
      </c>
      <c r="B483" s="34"/>
      <c r="C483" s="11" t="s">
        <v>585</v>
      </c>
      <c r="D483" s="14" t="s">
        <v>141</v>
      </c>
      <c r="E483" s="12">
        <f>Table1[[#This Row],[QUANTITY]]-Table1[[#This Row],[CONSUMPTION]]</f>
        <v>1</v>
      </c>
      <c r="F483" s="12">
        <v>1</v>
      </c>
      <c r="G483" s="12" t="s">
        <v>40</v>
      </c>
      <c r="H483" s="10"/>
      <c r="I483" s="32">
        <f t="shared" si="7"/>
        <v>0</v>
      </c>
      <c r="J483" s="10" t="s">
        <v>8</v>
      </c>
      <c r="K483" s="12" t="s">
        <v>591</v>
      </c>
      <c r="L483" s="10"/>
      <c r="M483" s="10"/>
    </row>
    <row r="484" spans="1:13" ht="15" customHeight="1" x14ac:dyDescent="0.25">
      <c r="A484" s="9">
        <v>471</v>
      </c>
      <c r="B484" s="34"/>
      <c r="C484" s="11" t="s">
        <v>586</v>
      </c>
      <c r="D484" s="14" t="s">
        <v>141</v>
      </c>
      <c r="E484" s="12">
        <f>Table1[[#This Row],[QUANTITY]]-Table1[[#This Row],[CONSUMPTION]]</f>
        <v>1</v>
      </c>
      <c r="F484" s="12">
        <v>1</v>
      </c>
      <c r="G484" s="12" t="s">
        <v>40</v>
      </c>
      <c r="H484" s="10"/>
      <c r="I484" s="32">
        <f t="shared" si="7"/>
        <v>0</v>
      </c>
      <c r="J484" s="10" t="s">
        <v>8</v>
      </c>
      <c r="K484" s="12" t="s">
        <v>591</v>
      </c>
      <c r="L484" s="10"/>
      <c r="M484" s="10"/>
    </row>
    <row r="485" spans="1:13" ht="15" customHeight="1" x14ac:dyDescent="0.25">
      <c r="A485" s="7">
        <v>472</v>
      </c>
      <c r="B485" s="34"/>
      <c r="C485" s="11" t="s">
        <v>587</v>
      </c>
      <c r="D485" s="14" t="s">
        <v>141</v>
      </c>
      <c r="E485" s="12">
        <f>Table1[[#This Row],[QUANTITY]]-Table1[[#This Row],[CONSUMPTION]]</f>
        <v>2</v>
      </c>
      <c r="F485" s="12">
        <v>2</v>
      </c>
      <c r="G485" s="12" t="s">
        <v>40</v>
      </c>
      <c r="H485" s="10"/>
      <c r="I485" s="32">
        <f t="shared" si="7"/>
        <v>0</v>
      </c>
      <c r="J485" s="10" t="s">
        <v>8</v>
      </c>
      <c r="K485" s="12" t="s">
        <v>591</v>
      </c>
      <c r="L485" s="10"/>
      <c r="M485" s="10"/>
    </row>
    <row r="486" spans="1:13" ht="15" customHeight="1" x14ac:dyDescent="0.25">
      <c r="A486" s="9">
        <v>473</v>
      </c>
      <c r="B486" s="34"/>
      <c r="C486" s="11" t="s">
        <v>588</v>
      </c>
      <c r="D486" s="14" t="s">
        <v>141</v>
      </c>
      <c r="E486" s="12">
        <f>Table1[[#This Row],[QUANTITY]]-Table1[[#This Row],[CONSUMPTION]]</f>
        <v>1</v>
      </c>
      <c r="F486" s="12">
        <v>1</v>
      </c>
      <c r="G486" s="12" t="s">
        <v>40</v>
      </c>
      <c r="H486" s="10"/>
      <c r="I486" s="32">
        <f t="shared" si="7"/>
        <v>0</v>
      </c>
      <c r="J486" s="10" t="s">
        <v>8</v>
      </c>
      <c r="K486" s="12" t="s">
        <v>591</v>
      </c>
      <c r="L486" s="10"/>
      <c r="M486" s="10"/>
    </row>
    <row r="487" spans="1:13" ht="15" customHeight="1" x14ac:dyDescent="0.25">
      <c r="A487" s="9">
        <v>474</v>
      </c>
      <c r="B487" s="34"/>
      <c r="C487" s="11" t="s">
        <v>645</v>
      </c>
      <c r="D487" s="14" t="s">
        <v>141</v>
      </c>
      <c r="E487" s="12">
        <f>Table1[[#This Row],[QUANTITY]]-Table1[[#This Row],[CONSUMPTION]]</f>
        <v>1</v>
      </c>
      <c r="F487" s="12">
        <v>1</v>
      </c>
      <c r="G487" s="12" t="s">
        <v>40</v>
      </c>
      <c r="H487" s="10"/>
      <c r="I487" s="32">
        <f t="shared" si="7"/>
        <v>0</v>
      </c>
      <c r="J487" s="10" t="s">
        <v>8</v>
      </c>
      <c r="K487" s="12" t="s">
        <v>591</v>
      </c>
      <c r="L487" s="10"/>
      <c r="M487" s="10"/>
    </row>
    <row r="488" spans="1:13" ht="15" customHeight="1" x14ac:dyDescent="0.25">
      <c r="A488" s="9">
        <v>475</v>
      </c>
      <c r="B488" s="34"/>
      <c r="C488" s="11" t="s">
        <v>646</v>
      </c>
      <c r="D488" s="14" t="s">
        <v>141</v>
      </c>
      <c r="E488" s="12">
        <f>Table1[[#This Row],[QUANTITY]]-Table1[[#This Row],[CONSUMPTION]]</f>
        <v>2</v>
      </c>
      <c r="F488" s="12">
        <v>2</v>
      </c>
      <c r="G488" s="12" t="s">
        <v>40</v>
      </c>
      <c r="H488" s="10"/>
      <c r="I488" s="32">
        <f t="shared" si="7"/>
        <v>0</v>
      </c>
      <c r="J488" s="10" t="s">
        <v>8</v>
      </c>
      <c r="K488" s="12" t="s">
        <v>591</v>
      </c>
      <c r="L488" s="10"/>
      <c r="M488" s="10"/>
    </row>
    <row r="489" spans="1:13" ht="15" customHeight="1" x14ac:dyDescent="0.25">
      <c r="A489" s="7">
        <v>476</v>
      </c>
      <c r="B489" s="34"/>
      <c r="C489" s="11" t="s">
        <v>646</v>
      </c>
      <c r="D489" s="14" t="s">
        <v>141</v>
      </c>
      <c r="E489" s="12">
        <f>Table1[[#This Row],[QUANTITY]]-Table1[[#This Row],[CONSUMPTION]]</f>
        <v>1</v>
      </c>
      <c r="F489" s="12">
        <v>1</v>
      </c>
      <c r="G489" s="12" t="s">
        <v>40</v>
      </c>
      <c r="H489" s="10"/>
      <c r="I489" s="32">
        <f t="shared" si="7"/>
        <v>0</v>
      </c>
      <c r="J489" s="10" t="s">
        <v>8</v>
      </c>
      <c r="K489" s="12" t="s">
        <v>591</v>
      </c>
      <c r="L489" s="10"/>
      <c r="M489" s="10"/>
    </row>
    <row r="490" spans="1:13" ht="15" customHeight="1" x14ac:dyDescent="0.25">
      <c r="A490" s="9">
        <v>477</v>
      </c>
      <c r="B490" s="34"/>
      <c r="C490" s="11" t="s">
        <v>647</v>
      </c>
      <c r="D490" s="14" t="s">
        <v>141</v>
      </c>
      <c r="E490" s="12">
        <f>Table1[[#This Row],[QUANTITY]]-Table1[[#This Row],[CONSUMPTION]]</f>
        <v>1</v>
      </c>
      <c r="F490" s="12">
        <v>1</v>
      </c>
      <c r="G490" s="12" t="s">
        <v>40</v>
      </c>
      <c r="H490" s="10"/>
      <c r="I490" s="32">
        <f t="shared" si="7"/>
        <v>0</v>
      </c>
      <c r="J490" s="10" t="s">
        <v>8</v>
      </c>
      <c r="K490" s="12" t="s">
        <v>591</v>
      </c>
      <c r="L490" s="10"/>
      <c r="M490" s="10"/>
    </row>
    <row r="491" spans="1:13" ht="15" customHeight="1" x14ac:dyDescent="0.25">
      <c r="A491" s="9">
        <v>478</v>
      </c>
      <c r="B491" s="34"/>
      <c r="C491" s="11" t="s">
        <v>648</v>
      </c>
      <c r="D491" s="14" t="s">
        <v>141</v>
      </c>
      <c r="E491" s="12">
        <f>Table1[[#This Row],[QUANTITY]]-Table1[[#This Row],[CONSUMPTION]]</f>
        <v>1</v>
      </c>
      <c r="F491" s="12">
        <v>1</v>
      </c>
      <c r="G491" s="12" t="s">
        <v>40</v>
      </c>
      <c r="H491" s="10"/>
      <c r="I491" s="32">
        <f t="shared" si="7"/>
        <v>0</v>
      </c>
      <c r="J491" s="10" t="s">
        <v>8</v>
      </c>
      <c r="K491" s="12" t="s">
        <v>591</v>
      </c>
      <c r="L491" s="10"/>
      <c r="M491" s="10"/>
    </row>
    <row r="492" spans="1:13" ht="15" customHeight="1" x14ac:dyDescent="0.25">
      <c r="A492" s="9">
        <v>479</v>
      </c>
      <c r="B492" s="34"/>
      <c r="C492" s="11" t="s">
        <v>649</v>
      </c>
      <c r="D492" s="14" t="s">
        <v>141</v>
      </c>
      <c r="E492" s="12">
        <f>Table1[[#This Row],[QUANTITY]]-Table1[[#This Row],[CONSUMPTION]]</f>
        <v>1</v>
      </c>
      <c r="F492" s="12">
        <v>1</v>
      </c>
      <c r="G492" s="12" t="s">
        <v>40</v>
      </c>
      <c r="H492" s="10"/>
      <c r="I492" s="32">
        <f t="shared" si="7"/>
        <v>0</v>
      </c>
      <c r="J492" s="10" t="s">
        <v>8</v>
      </c>
      <c r="K492" s="12" t="s">
        <v>591</v>
      </c>
      <c r="L492" s="10"/>
      <c r="M492" s="10"/>
    </row>
    <row r="493" spans="1:13" ht="15" customHeight="1" x14ac:dyDescent="0.25">
      <c r="A493" s="9">
        <v>480</v>
      </c>
      <c r="B493" s="34"/>
      <c r="C493" s="11" t="s">
        <v>650</v>
      </c>
      <c r="D493" s="14" t="s">
        <v>141</v>
      </c>
      <c r="E493" s="12">
        <f>Table1[[#This Row],[QUANTITY]]-Table1[[#This Row],[CONSUMPTION]]</f>
        <v>2</v>
      </c>
      <c r="F493" s="12">
        <v>2</v>
      </c>
      <c r="G493" s="12" t="s">
        <v>40</v>
      </c>
      <c r="H493" s="10"/>
      <c r="I493" s="32">
        <f t="shared" si="7"/>
        <v>0</v>
      </c>
      <c r="J493" s="10" t="s">
        <v>8</v>
      </c>
      <c r="K493" s="12" t="s">
        <v>591</v>
      </c>
      <c r="L493" s="10"/>
      <c r="M493" s="10"/>
    </row>
    <row r="494" spans="1:13" ht="15" customHeight="1" x14ac:dyDescent="0.25">
      <c r="A494" s="9">
        <v>481</v>
      </c>
      <c r="B494" s="34"/>
      <c r="C494" s="11" t="s">
        <v>651</v>
      </c>
      <c r="D494" s="14" t="s">
        <v>141</v>
      </c>
      <c r="E494" s="12">
        <f>Table1[[#This Row],[QUANTITY]]-Table1[[#This Row],[CONSUMPTION]]</f>
        <v>1</v>
      </c>
      <c r="F494" s="12">
        <v>1</v>
      </c>
      <c r="G494" s="12" t="s">
        <v>40</v>
      </c>
      <c r="H494" s="10"/>
      <c r="I494" s="32">
        <f t="shared" si="7"/>
        <v>0</v>
      </c>
      <c r="J494" s="10" t="s">
        <v>8</v>
      </c>
      <c r="K494" s="12" t="s">
        <v>591</v>
      </c>
      <c r="L494" s="10"/>
      <c r="M494" s="10"/>
    </row>
    <row r="495" spans="1:13" ht="15" customHeight="1" x14ac:dyDescent="0.25">
      <c r="A495" s="9">
        <v>482</v>
      </c>
      <c r="B495" s="34"/>
      <c r="C495" s="11" t="s">
        <v>652</v>
      </c>
      <c r="D495" s="14" t="s">
        <v>141</v>
      </c>
      <c r="E495" s="12">
        <f>Table1[[#This Row],[QUANTITY]]-Table1[[#This Row],[CONSUMPTION]]</f>
        <v>1</v>
      </c>
      <c r="F495" s="12">
        <v>1</v>
      </c>
      <c r="G495" s="12" t="s">
        <v>40</v>
      </c>
      <c r="H495" s="10"/>
      <c r="I495" s="32">
        <f t="shared" si="7"/>
        <v>0</v>
      </c>
      <c r="J495" s="10" t="s">
        <v>8</v>
      </c>
      <c r="K495" s="12" t="s">
        <v>591</v>
      </c>
      <c r="L495" s="10"/>
      <c r="M495" s="10"/>
    </row>
    <row r="496" spans="1:13" ht="15" customHeight="1" x14ac:dyDescent="0.25">
      <c r="A496" s="7">
        <v>483</v>
      </c>
      <c r="B496" s="34"/>
      <c r="C496" s="11" t="s">
        <v>653</v>
      </c>
      <c r="D496" s="14" t="s">
        <v>141</v>
      </c>
      <c r="E496" s="12">
        <f>Table1[[#This Row],[QUANTITY]]-Table1[[#This Row],[CONSUMPTION]]</f>
        <v>2</v>
      </c>
      <c r="F496" s="12">
        <v>2</v>
      </c>
      <c r="G496" s="12" t="s">
        <v>40</v>
      </c>
      <c r="H496" s="10"/>
      <c r="I496" s="32">
        <f t="shared" si="7"/>
        <v>0</v>
      </c>
      <c r="J496" s="10" t="s">
        <v>8</v>
      </c>
      <c r="K496" s="12" t="s">
        <v>591</v>
      </c>
      <c r="L496" s="10"/>
      <c r="M496" s="10"/>
    </row>
    <row r="497" spans="1:13" ht="15" customHeight="1" x14ac:dyDescent="0.25">
      <c r="A497" s="9">
        <v>484</v>
      </c>
      <c r="B497" s="34"/>
      <c r="C497" s="11" t="s">
        <v>654</v>
      </c>
      <c r="D497" s="14" t="s">
        <v>141</v>
      </c>
      <c r="E497" s="12">
        <f>Table1[[#This Row],[QUANTITY]]-Table1[[#This Row],[CONSUMPTION]]</f>
        <v>2</v>
      </c>
      <c r="F497" s="12">
        <v>2</v>
      </c>
      <c r="G497" s="12" t="s">
        <v>40</v>
      </c>
      <c r="H497" s="10"/>
      <c r="I497" s="32">
        <f t="shared" si="7"/>
        <v>0</v>
      </c>
      <c r="J497" s="10" t="s">
        <v>8</v>
      </c>
      <c r="K497" s="12" t="s">
        <v>591</v>
      </c>
      <c r="L497" s="10"/>
      <c r="M497" s="10"/>
    </row>
    <row r="498" spans="1:13" ht="15" customHeight="1" x14ac:dyDescent="0.25">
      <c r="A498" s="9">
        <v>485</v>
      </c>
      <c r="B498" s="34"/>
      <c r="C498" s="11" t="s">
        <v>601</v>
      </c>
      <c r="D498" s="14" t="s">
        <v>141</v>
      </c>
      <c r="E498" s="12">
        <f>Table1[[#This Row],[QUANTITY]]-Table1[[#This Row],[CONSUMPTION]]</f>
        <v>2</v>
      </c>
      <c r="F498" s="12">
        <v>2</v>
      </c>
      <c r="G498" s="12" t="s">
        <v>40</v>
      </c>
      <c r="H498" s="10"/>
      <c r="I498" s="32">
        <f t="shared" si="7"/>
        <v>0</v>
      </c>
      <c r="J498" s="10" t="s">
        <v>8</v>
      </c>
      <c r="K498" s="12" t="s">
        <v>591</v>
      </c>
      <c r="L498" s="10"/>
      <c r="M498" s="10"/>
    </row>
    <row r="499" spans="1:13" ht="15" customHeight="1" x14ac:dyDescent="0.25">
      <c r="A499" s="9">
        <v>486</v>
      </c>
      <c r="B499" s="34"/>
      <c r="C499" s="11" t="s">
        <v>602</v>
      </c>
      <c r="D499" s="14" t="s">
        <v>141</v>
      </c>
      <c r="E499" s="12">
        <f>Table1[[#This Row],[QUANTITY]]-Table1[[#This Row],[CONSUMPTION]]</f>
        <v>1</v>
      </c>
      <c r="F499" s="12">
        <v>1</v>
      </c>
      <c r="G499" s="12" t="s">
        <v>40</v>
      </c>
      <c r="H499" s="10"/>
      <c r="I499" s="32">
        <f t="shared" si="7"/>
        <v>0</v>
      </c>
      <c r="J499" s="10" t="s">
        <v>8</v>
      </c>
      <c r="K499" s="12" t="s">
        <v>591</v>
      </c>
      <c r="L499" s="10"/>
      <c r="M499" s="10"/>
    </row>
    <row r="500" spans="1:13" ht="15" customHeight="1" x14ac:dyDescent="0.25">
      <c r="A500" s="7">
        <v>487</v>
      </c>
      <c r="B500" s="34"/>
      <c r="C500" s="11" t="s">
        <v>603</v>
      </c>
      <c r="D500" s="14" t="s">
        <v>141</v>
      </c>
      <c r="E500" s="12">
        <f>Table1[[#This Row],[QUANTITY]]-Table1[[#This Row],[CONSUMPTION]]</f>
        <v>1</v>
      </c>
      <c r="F500" s="12">
        <v>1</v>
      </c>
      <c r="G500" s="12" t="s">
        <v>40</v>
      </c>
      <c r="H500" s="10"/>
      <c r="I500" s="32">
        <f t="shared" si="7"/>
        <v>0</v>
      </c>
      <c r="J500" s="10" t="s">
        <v>8</v>
      </c>
      <c r="K500" s="12" t="s">
        <v>591</v>
      </c>
      <c r="L500" s="10"/>
      <c r="M500" s="10"/>
    </row>
    <row r="501" spans="1:13" ht="15" customHeight="1" x14ac:dyDescent="0.25">
      <c r="A501" s="9">
        <v>488</v>
      </c>
      <c r="B501" s="34"/>
      <c r="C501" s="11" t="s">
        <v>604</v>
      </c>
      <c r="D501" s="14" t="s">
        <v>141</v>
      </c>
      <c r="E501" s="12">
        <f>Table1[[#This Row],[QUANTITY]]-Table1[[#This Row],[CONSUMPTION]]</f>
        <v>1</v>
      </c>
      <c r="F501" s="12">
        <v>1</v>
      </c>
      <c r="G501" s="12" t="s">
        <v>40</v>
      </c>
      <c r="H501" s="10"/>
      <c r="I501" s="32">
        <f t="shared" si="7"/>
        <v>0</v>
      </c>
      <c r="J501" s="10" t="s">
        <v>8</v>
      </c>
      <c r="K501" s="12" t="s">
        <v>591</v>
      </c>
      <c r="L501" s="10"/>
      <c r="M501" s="10"/>
    </row>
    <row r="502" spans="1:13" ht="15" customHeight="1" x14ac:dyDescent="0.25">
      <c r="A502" s="9">
        <v>489</v>
      </c>
      <c r="B502" s="34"/>
      <c r="C502" s="11" t="s">
        <v>655</v>
      </c>
      <c r="D502" s="14" t="s">
        <v>141</v>
      </c>
      <c r="E502" s="12">
        <f>Table1[[#This Row],[QUANTITY]]-Table1[[#This Row],[CONSUMPTION]]</f>
        <v>1</v>
      </c>
      <c r="F502" s="12">
        <v>1</v>
      </c>
      <c r="G502" s="12" t="s">
        <v>40</v>
      </c>
      <c r="H502" s="10"/>
      <c r="I502" s="32">
        <f t="shared" si="7"/>
        <v>0</v>
      </c>
      <c r="J502" s="10" t="s">
        <v>8</v>
      </c>
      <c r="K502" s="12" t="s">
        <v>591</v>
      </c>
      <c r="L502" s="10"/>
      <c r="M502" s="10"/>
    </row>
    <row r="503" spans="1:13" ht="15" customHeight="1" x14ac:dyDescent="0.25">
      <c r="A503" s="9">
        <v>490</v>
      </c>
      <c r="B503" s="34"/>
      <c r="C503" s="11" t="s">
        <v>656</v>
      </c>
      <c r="D503" s="14" t="s">
        <v>141</v>
      </c>
      <c r="E503" s="12">
        <f>Table1[[#This Row],[QUANTITY]]-Table1[[#This Row],[CONSUMPTION]]</f>
        <v>1</v>
      </c>
      <c r="F503" s="12">
        <v>1</v>
      </c>
      <c r="G503" s="12" t="s">
        <v>40</v>
      </c>
      <c r="H503" s="10"/>
      <c r="I503" s="32">
        <f t="shared" si="7"/>
        <v>0</v>
      </c>
      <c r="J503" s="10" t="s">
        <v>8</v>
      </c>
      <c r="K503" s="12" t="s">
        <v>591</v>
      </c>
      <c r="L503" s="10"/>
      <c r="M503" s="10"/>
    </row>
    <row r="504" spans="1:13" ht="15" customHeight="1" x14ac:dyDescent="0.25">
      <c r="A504" s="7">
        <v>491</v>
      </c>
      <c r="B504" s="34"/>
      <c r="C504" s="11" t="s">
        <v>657</v>
      </c>
      <c r="D504" s="14" t="s">
        <v>141</v>
      </c>
      <c r="E504" s="12">
        <f>Table1[[#This Row],[QUANTITY]]-Table1[[#This Row],[CONSUMPTION]]</f>
        <v>1</v>
      </c>
      <c r="F504" s="12">
        <v>1</v>
      </c>
      <c r="G504" s="12" t="s">
        <v>40</v>
      </c>
      <c r="H504" s="10"/>
      <c r="I504" s="32">
        <f t="shared" si="7"/>
        <v>0</v>
      </c>
      <c r="J504" s="10" t="s">
        <v>8</v>
      </c>
      <c r="K504" s="12" t="s">
        <v>591</v>
      </c>
      <c r="L504" s="10"/>
      <c r="M504" s="10"/>
    </row>
    <row r="505" spans="1:13" ht="15" customHeight="1" x14ac:dyDescent="0.25">
      <c r="A505" s="9">
        <v>492</v>
      </c>
      <c r="B505" s="34"/>
      <c r="C505" s="11" t="s">
        <v>658</v>
      </c>
      <c r="D505" s="14" t="s">
        <v>141</v>
      </c>
      <c r="E505" s="12">
        <f>Table1[[#This Row],[QUANTITY]]-Table1[[#This Row],[CONSUMPTION]]</f>
        <v>1</v>
      </c>
      <c r="F505" s="12">
        <v>1</v>
      </c>
      <c r="G505" s="12" t="s">
        <v>40</v>
      </c>
      <c r="H505" s="10"/>
      <c r="I505" s="32">
        <f t="shared" si="7"/>
        <v>0</v>
      </c>
      <c r="J505" s="10" t="s">
        <v>8</v>
      </c>
      <c r="K505" s="12" t="s">
        <v>591</v>
      </c>
      <c r="L505" s="10"/>
      <c r="M505" s="10"/>
    </row>
    <row r="506" spans="1:13" ht="15" customHeight="1" x14ac:dyDescent="0.25">
      <c r="A506" s="9">
        <v>493</v>
      </c>
      <c r="B506" s="34"/>
      <c r="C506" s="11"/>
      <c r="D506" s="14" t="s">
        <v>659</v>
      </c>
      <c r="E506" s="12">
        <f>Table1[[#This Row],[QUANTITY]]-Table1[[#This Row],[CONSUMPTION]]</f>
        <v>1</v>
      </c>
      <c r="F506" s="12">
        <v>1</v>
      </c>
      <c r="G506" s="12" t="s">
        <v>365</v>
      </c>
      <c r="H506" s="10"/>
      <c r="I506" s="32">
        <f t="shared" si="7"/>
        <v>0</v>
      </c>
      <c r="J506" s="10" t="s">
        <v>7</v>
      </c>
      <c r="K506" s="12" t="s">
        <v>479</v>
      </c>
      <c r="L506" s="10"/>
      <c r="M506" s="10"/>
    </row>
    <row r="507" spans="1:13" ht="15" customHeight="1" x14ac:dyDescent="0.25">
      <c r="A507" s="9">
        <v>494</v>
      </c>
      <c r="B507" s="34"/>
      <c r="C507" s="11"/>
      <c r="D507" s="14" t="s">
        <v>660</v>
      </c>
      <c r="E507" s="12">
        <f>Table1[[#This Row],[QUANTITY]]-Table1[[#This Row],[CONSUMPTION]]</f>
        <v>1</v>
      </c>
      <c r="F507" s="12">
        <v>1</v>
      </c>
      <c r="G507" s="12" t="s">
        <v>365</v>
      </c>
      <c r="H507" s="10"/>
      <c r="I507" s="32">
        <f t="shared" si="7"/>
        <v>0</v>
      </c>
      <c r="J507" s="10" t="s">
        <v>14</v>
      </c>
      <c r="K507" s="12" t="s">
        <v>661</v>
      </c>
      <c r="L507" s="10"/>
      <c r="M507" s="10"/>
    </row>
    <row r="508" spans="1:13" ht="15" customHeight="1" x14ac:dyDescent="0.25">
      <c r="A508" s="7">
        <v>495</v>
      </c>
      <c r="B508" s="34"/>
      <c r="C508" s="11">
        <v>6013</v>
      </c>
      <c r="D508" s="14" t="s">
        <v>662</v>
      </c>
      <c r="E508" s="12">
        <f>Table1[[#This Row],[QUANTITY]]-Table1[[#This Row],[CONSUMPTION]]</f>
        <v>0</v>
      </c>
      <c r="F508" s="12">
        <v>5</v>
      </c>
      <c r="G508" s="12" t="s">
        <v>501</v>
      </c>
      <c r="H508" s="10"/>
      <c r="I508" s="32">
        <f t="shared" si="7"/>
        <v>0</v>
      </c>
      <c r="J508" s="10" t="s">
        <v>12</v>
      </c>
      <c r="K508" s="12" t="s">
        <v>371</v>
      </c>
      <c r="L508" s="10">
        <v>5</v>
      </c>
      <c r="M508" s="10"/>
    </row>
    <row r="509" spans="1:13" ht="15" customHeight="1" x14ac:dyDescent="0.25">
      <c r="A509" s="9">
        <v>496</v>
      </c>
      <c r="B509" s="34"/>
      <c r="C509" s="11">
        <v>7018</v>
      </c>
      <c r="D509" s="14" t="s">
        <v>663</v>
      </c>
      <c r="E509" s="12">
        <f>Table1[[#This Row],[QUANTITY]]-Table1[[#This Row],[CONSUMPTION]]</f>
        <v>0</v>
      </c>
      <c r="F509" s="12">
        <v>5</v>
      </c>
      <c r="G509" s="12" t="s">
        <v>501</v>
      </c>
      <c r="H509" s="10"/>
      <c r="I509" s="32">
        <f t="shared" si="7"/>
        <v>0</v>
      </c>
      <c r="J509" s="10" t="s">
        <v>12</v>
      </c>
      <c r="K509" s="12" t="s">
        <v>371</v>
      </c>
      <c r="L509" s="10">
        <v>5</v>
      </c>
      <c r="M509" s="10"/>
    </row>
    <row r="510" spans="1:13" ht="15" customHeight="1" x14ac:dyDescent="0.25">
      <c r="A510" s="9">
        <v>497</v>
      </c>
      <c r="B510" s="34" t="s">
        <v>664</v>
      </c>
      <c r="C510" s="11" t="s">
        <v>665</v>
      </c>
      <c r="D510" s="14" t="s">
        <v>666</v>
      </c>
      <c r="E510" s="12">
        <f>Table1[[#This Row],[QUANTITY]]-Table1[[#This Row],[CONSUMPTION]]</f>
        <v>3</v>
      </c>
      <c r="F510" s="12">
        <v>3</v>
      </c>
      <c r="G510" s="12" t="s">
        <v>40</v>
      </c>
      <c r="H510" s="29">
        <v>17138.990000000002</v>
      </c>
      <c r="I510" s="32">
        <f t="shared" si="7"/>
        <v>51416.97</v>
      </c>
      <c r="J510" s="10" t="s">
        <v>4</v>
      </c>
      <c r="K510" s="12" t="s">
        <v>667</v>
      </c>
      <c r="L510" s="10"/>
      <c r="M510" s="10"/>
    </row>
    <row r="511" spans="1:13" ht="15" customHeight="1" x14ac:dyDescent="0.25">
      <c r="A511" s="9">
        <v>498</v>
      </c>
      <c r="B511" s="34"/>
      <c r="C511" s="11">
        <v>570915400117</v>
      </c>
      <c r="D511" s="14" t="s">
        <v>668</v>
      </c>
      <c r="E511" s="12">
        <f>Table1[[#This Row],[QUANTITY]]-Table1[[#This Row],[CONSUMPTION]]</f>
        <v>1</v>
      </c>
      <c r="F511" s="12">
        <v>1</v>
      </c>
      <c r="G511" s="12" t="s">
        <v>40</v>
      </c>
      <c r="H511" s="10"/>
      <c r="I511" s="32">
        <f t="shared" si="7"/>
        <v>0</v>
      </c>
      <c r="J511" s="10" t="s">
        <v>49</v>
      </c>
      <c r="K511" s="12" t="s">
        <v>46</v>
      </c>
      <c r="L511" s="10"/>
      <c r="M511" s="10"/>
    </row>
    <row r="512" spans="1:13" ht="15" customHeight="1" x14ac:dyDescent="0.25">
      <c r="A512" s="9">
        <v>499</v>
      </c>
      <c r="B512" s="34"/>
      <c r="C512" s="11">
        <v>101393400300</v>
      </c>
      <c r="D512" s="14" t="s">
        <v>669</v>
      </c>
      <c r="E512" s="12">
        <f>Table1[[#This Row],[QUANTITY]]-Table1[[#This Row],[CONSUMPTION]]</f>
        <v>1</v>
      </c>
      <c r="F512" s="12">
        <v>1</v>
      </c>
      <c r="G512" s="12" t="s">
        <v>40</v>
      </c>
      <c r="H512" s="10"/>
      <c r="I512" s="32">
        <f t="shared" si="7"/>
        <v>0</v>
      </c>
      <c r="J512" s="10" t="s">
        <v>13</v>
      </c>
      <c r="K512" s="12" t="s">
        <v>71</v>
      </c>
      <c r="L512" s="10"/>
      <c r="M512" s="10"/>
    </row>
    <row r="513" spans="1:13" ht="15" customHeight="1" x14ac:dyDescent="0.25">
      <c r="A513" s="9">
        <v>500</v>
      </c>
      <c r="B513" s="34">
        <v>251015005531</v>
      </c>
      <c r="C513" s="11"/>
      <c r="D513" s="14" t="s">
        <v>670</v>
      </c>
      <c r="E513" s="12">
        <f>Table1[[#This Row],[QUANTITY]]-Table1[[#This Row],[CONSUMPTION]]</f>
        <v>2</v>
      </c>
      <c r="F513" s="12">
        <v>2</v>
      </c>
      <c r="G513" s="12" t="s">
        <v>365</v>
      </c>
      <c r="H513" s="10">
        <v>3800</v>
      </c>
      <c r="I513" s="32">
        <f t="shared" si="7"/>
        <v>7600</v>
      </c>
      <c r="J513" s="10" t="s">
        <v>21</v>
      </c>
      <c r="K513" s="12" t="s">
        <v>396</v>
      </c>
      <c r="L513" s="10"/>
      <c r="M513" s="10"/>
    </row>
    <row r="514" spans="1:13" ht="15" customHeight="1" x14ac:dyDescent="0.25">
      <c r="A514" s="9">
        <v>501</v>
      </c>
      <c r="B514" s="34">
        <v>251739020023</v>
      </c>
      <c r="C514" s="11" t="s">
        <v>671</v>
      </c>
      <c r="D514" s="14" t="s">
        <v>672</v>
      </c>
      <c r="E514" s="12">
        <f>Table1[[#This Row],[QUANTITY]]-Table1[[#This Row],[CONSUMPTION]]</f>
        <v>1</v>
      </c>
      <c r="F514" s="12">
        <v>1</v>
      </c>
      <c r="G514" s="12" t="s">
        <v>40</v>
      </c>
      <c r="H514" s="29">
        <v>14362</v>
      </c>
      <c r="I514" s="32">
        <f t="shared" si="7"/>
        <v>14362</v>
      </c>
      <c r="J514" s="10" t="s">
        <v>21</v>
      </c>
      <c r="K514" s="12" t="s">
        <v>396</v>
      </c>
      <c r="L514" s="10"/>
      <c r="M514" s="10"/>
    </row>
    <row r="515" spans="1:13" ht="15" customHeight="1" x14ac:dyDescent="0.25">
      <c r="A515" s="9">
        <v>502</v>
      </c>
      <c r="B515" s="34">
        <v>271119051000</v>
      </c>
      <c r="C515" s="11"/>
      <c r="D515" s="14" t="s">
        <v>673</v>
      </c>
      <c r="E515" s="12">
        <f>Table1[[#This Row],[QUANTITY]]-Table1[[#This Row],[CONSUMPTION]]</f>
        <v>1</v>
      </c>
      <c r="F515" s="12">
        <v>1</v>
      </c>
      <c r="G515" s="12" t="s">
        <v>40</v>
      </c>
      <c r="H515" s="29">
        <v>10065.780000000001</v>
      </c>
      <c r="I515" s="32">
        <f t="shared" si="7"/>
        <v>10065.780000000001</v>
      </c>
      <c r="J515" s="4" t="s">
        <v>7</v>
      </c>
      <c r="K515" s="12" t="s">
        <v>674</v>
      </c>
      <c r="L515" s="10"/>
      <c r="M515" s="10"/>
    </row>
    <row r="516" spans="1:13" ht="15" customHeight="1" x14ac:dyDescent="0.25">
      <c r="A516" s="9">
        <v>503</v>
      </c>
      <c r="B516" s="34">
        <v>311628000553</v>
      </c>
      <c r="C516" s="11"/>
      <c r="D516" s="14" t="s">
        <v>675</v>
      </c>
      <c r="E516" s="12">
        <f>Table1[[#This Row],[QUANTITY]]-Table1[[#This Row],[CONSUMPTION]]</f>
        <v>2</v>
      </c>
      <c r="F516" s="12">
        <v>2</v>
      </c>
      <c r="G516" s="12" t="s">
        <v>40</v>
      </c>
      <c r="H516" s="10">
        <v>836.4</v>
      </c>
      <c r="I516" s="32">
        <f t="shared" si="7"/>
        <v>1672.8</v>
      </c>
      <c r="J516" s="10" t="s">
        <v>14</v>
      </c>
      <c r="K516" s="12" t="s">
        <v>479</v>
      </c>
      <c r="L516" s="10"/>
      <c r="M516" s="10"/>
    </row>
    <row r="517" spans="1:13" ht="15" customHeight="1" x14ac:dyDescent="0.25">
      <c r="A517" s="9">
        <v>504</v>
      </c>
      <c r="B517" s="34">
        <v>312015161052</v>
      </c>
      <c r="C517" s="11"/>
      <c r="D517" s="14" t="s">
        <v>676</v>
      </c>
      <c r="E517" s="12">
        <f>Table1[[#This Row],[QUANTITY]]-Table1[[#This Row],[CONSUMPTION]]</f>
        <v>50</v>
      </c>
      <c r="F517" s="12">
        <v>200</v>
      </c>
      <c r="G517" s="12" t="s">
        <v>677</v>
      </c>
      <c r="H517" s="10">
        <v>72</v>
      </c>
      <c r="I517" s="32">
        <f t="shared" si="7"/>
        <v>3600</v>
      </c>
      <c r="J517" s="4" t="s">
        <v>3</v>
      </c>
      <c r="K517" s="12" t="s">
        <v>678</v>
      </c>
      <c r="L517" s="10">
        <v>150</v>
      </c>
      <c r="M517" s="10" t="s">
        <v>101</v>
      </c>
    </row>
    <row r="518" spans="1:13" ht="15" customHeight="1" x14ac:dyDescent="0.25">
      <c r="A518" s="9">
        <v>505</v>
      </c>
      <c r="B518" s="34">
        <v>312015161053</v>
      </c>
      <c r="C518" s="11"/>
      <c r="D518" s="14" t="s">
        <v>679</v>
      </c>
      <c r="E518" s="12">
        <f>Table1[[#This Row],[QUANTITY]]-Table1[[#This Row],[CONSUMPTION]]</f>
        <v>200</v>
      </c>
      <c r="F518" s="12">
        <v>200</v>
      </c>
      <c r="G518" s="12" t="s">
        <v>677</v>
      </c>
      <c r="H518" s="10">
        <v>72</v>
      </c>
      <c r="I518" s="32">
        <f t="shared" si="7"/>
        <v>14400</v>
      </c>
      <c r="J518" s="10" t="s">
        <v>3</v>
      </c>
      <c r="K518" s="12" t="s">
        <v>678</v>
      </c>
      <c r="L518" s="10"/>
      <c r="M518" s="10"/>
    </row>
    <row r="519" spans="1:13" ht="15" customHeight="1" x14ac:dyDescent="0.25">
      <c r="A519" s="9">
        <v>506</v>
      </c>
      <c r="B519" s="34">
        <v>391222000614</v>
      </c>
      <c r="C519" s="11"/>
      <c r="D519" s="14" t="s">
        <v>680</v>
      </c>
      <c r="E519" s="12">
        <f>Table1[[#This Row],[QUANTITY]]-Table1[[#This Row],[CONSUMPTION]]</f>
        <v>1</v>
      </c>
      <c r="F519" s="12">
        <v>1</v>
      </c>
      <c r="G519" s="12" t="s">
        <v>40</v>
      </c>
      <c r="H519" s="29">
        <v>19423.05</v>
      </c>
      <c r="I519" s="32">
        <f t="shared" si="7"/>
        <v>19423.05</v>
      </c>
      <c r="J519" s="10" t="s">
        <v>9</v>
      </c>
      <c r="K519" s="12" t="s">
        <v>396</v>
      </c>
      <c r="L519" s="10"/>
      <c r="M519" s="10"/>
    </row>
    <row r="520" spans="1:13" ht="15" customHeight="1" x14ac:dyDescent="0.25">
      <c r="A520" s="9">
        <v>507</v>
      </c>
      <c r="B520" s="34">
        <v>401417640388</v>
      </c>
      <c r="C520" s="11"/>
      <c r="D520" s="14" t="s">
        <v>681</v>
      </c>
      <c r="E520" s="12">
        <f>Table1[[#This Row],[QUANTITY]]-Table1[[#This Row],[CONSUMPTION]]</f>
        <v>2</v>
      </c>
      <c r="F520" s="12">
        <v>2</v>
      </c>
      <c r="G520" s="12" t="s">
        <v>40</v>
      </c>
      <c r="H520" s="29">
        <v>4947.6000000000004</v>
      </c>
      <c r="I520" s="32">
        <f t="shared" si="7"/>
        <v>9895.2000000000007</v>
      </c>
      <c r="J520" s="10" t="s">
        <v>9</v>
      </c>
      <c r="K520" s="12" t="s">
        <v>682</v>
      </c>
      <c r="L520" s="10"/>
      <c r="M520" s="10"/>
    </row>
    <row r="521" spans="1:13" ht="15" customHeight="1" x14ac:dyDescent="0.25">
      <c r="A521" s="9">
        <v>508</v>
      </c>
      <c r="B521" s="34">
        <v>401515000299</v>
      </c>
      <c r="C521" s="11"/>
      <c r="D521" s="14" t="s">
        <v>683</v>
      </c>
      <c r="E521" s="12">
        <f>Table1[[#This Row],[QUANTITY]]-Table1[[#This Row],[CONSUMPTION]]</f>
        <v>1</v>
      </c>
      <c r="F521" s="12">
        <v>1</v>
      </c>
      <c r="G521" s="12" t="s">
        <v>40</v>
      </c>
      <c r="H521" s="29">
        <v>126237.86</v>
      </c>
      <c r="I521" s="32">
        <f t="shared" si="7"/>
        <v>126237.86</v>
      </c>
      <c r="J521" s="10" t="s">
        <v>684</v>
      </c>
      <c r="K521" s="12" t="s">
        <v>685</v>
      </c>
      <c r="L521" s="10"/>
      <c r="M521" s="10"/>
    </row>
    <row r="522" spans="1:13" ht="15" customHeight="1" x14ac:dyDescent="0.25">
      <c r="A522" s="9">
        <v>509</v>
      </c>
      <c r="B522" s="34">
        <v>451117059310</v>
      </c>
      <c r="C522" s="11"/>
      <c r="D522" s="14" t="s">
        <v>686</v>
      </c>
      <c r="E522" s="12">
        <f>Table1[[#This Row],[QUANTITY]]-Table1[[#This Row],[CONSUMPTION]]</f>
        <v>2</v>
      </c>
      <c r="F522" s="12">
        <v>2</v>
      </c>
      <c r="G522" s="12" t="s">
        <v>40</v>
      </c>
      <c r="H522" s="29">
        <v>4386</v>
      </c>
      <c r="I522" s="32">
        <f t="shared" si="7"/>
        <v>8772</v>
      </c>
      <c r="J522" s="10" t="s">
        <v>21</v>
      </c>
      <c r="K522" s="12" t="s">
        <v>396</v>
      </c>
      <c r="L522" s="10"/>
      <c r="M522" s="10"/>
    </row>
    <row r="523" spans="1:13" ht="15" customHeight="1" x14ac:dyDescent="0.25">
      <c r="A523" s="9">
        <v>510</v>
      </c>
      <c r="B523" s="34" t="s">
        <v>687</v>
      </c>
      <c r="C523" s="11"/>
      <c r="D523" s="14" t="s">
        <v>688</v>
      </c>
      <c r="E523" s="12">
        <f>Table1[[#This Row],[QUANTITY]]-Table1[[#This Row],[CONSUMPTION]]</f>
        <v>20</v>
      </c>
      <c r="F523" s="12">
        <v>20</v>
      </c>
      <c r="G523" s="12" t="s">
        <v>40</v>
      </c>
      <c r="H523" s="29">
        <v>72.539999999999992</v>
      </c>
      <c r="I523" s="32">
        <f t="shared" si="7"/>
        <v>1450.7999999999997</v>
      </c>
      <c r="J523" s="10" t="s">
        <v>9</v>
      </c>
      <c r="K523" s="12"/>
      <c r="L523" s="10"/>
      <c r="M523" s="10"/>
    </row>
    <row r="524" spans="1:13" ht="15" customHeight="1" x14ac:dyDescent="0.25">
      <c r="A524" s="9">
        <v>511</v>
      </c>
      <c r="B524" s="33"/>
      <c r="C524" s="2"/>
      <c r="D524" s="13" t="s">
        <v>689</v>
      </c>
      <c r="E524" s="1">
        <f>Table1[[#This Row],[QUANTITY]]-Table1[[#This Row],[CONSUMPTION]]</f>
        <v>1</v>
      </c>
      <c r="F524" s="1">
        <v>1</v>
      </c>
      <c r="G524" s="1" t="s">
        <v>40</v>
      </c>
      <c r="H524" s="4"/>
      <c r="I524" s="32">
        <f t="shared" si="7"/>
        <v>0</v>
      </c>
      <c r="J524" s="4" t="s">
        <v>684</v>
      </c>
      <c r="K524" s="1" t="s">
        <v>685</v>
      </c>
      <c r="L524" s="4"/>
      <c r="M524" s="4"/>
    </row>
    <row r="525" spans="1:13" ht="15" customHeight="1" x14ac:dyDescent="0.25">
      <c r="A525" s="9">
        <v>512</v>
      </c>
      <c r="B525" s="34"/>
      <c r="C525" s="11"/>
      <c r="D525" s="14" t="s">
        <v>690</v>
      </c>
      <c r="E525" s="1">
        <f>Table1[[#This Row],[QUANTITY]]-Table1[[#This Row],[CONSUMPTION]]</f>
        <v>5</v>
      </c>
      <c r="F525" s="12">
        <v>5</v>
      </c>
      <c r="G525" s="12" t="s">
        <v>40</v>
      </c>
      <c r="H525" s="10"/>
      <c r="I525" s="32">
        <f t="shared" si="7"/>
        <v>0</v>
      </c>
      <c r="J525" s="4" t="s">
        <v>684</v>
      </c>
      <c r="K525" s="12" t="s">
        <v>685</v>
      </c>
      <c r="L525" s="10"/>
      <c r="M525" s="10"/>
    </row>
    <row r="526" spans="1:13" ht="15" customHeight="1" x14ac:dyDescent="0.25">
      <c r="A526" s="9">
        <v>513</v>
      </c>
      <c r="B526" s="33"/>
      <c r="C526" s="2" t="s">
        <v>691</v>
      </c>
      <c r="D526" s="13" t="s">
        <v>692</v>
      </c>
      <c r="E526" s="1">
        <f>Table1[[#This Row],[QUANTITY]]-Table1[[#This Row],[CONSUMPTION]]</f>
        <v>2</v>
      </c>
      <c r="F526" s="1">
        <v>2</v>
      </c>
      <c r="G526" s="1" t="s">
        <v>40</v>
      </c>
      <c r="H526" s="4"/>
      <c r="I526" s="32">
        <f t="shared" ref="I526:I582" si="8">H526*E526</f>
        <v>0</v>
      </c>
      <c r="J526" s="4" t="s">
        <v>684</v>
      </c>
      <c r="K526" s="1" t="s">
        <v>105</v>
      </c>
      <c r="L526" s="4"/>
      <c r="M526" s="4"/>
    </row>
    <row r="527" spans="1:13" ht="15" customHeight="1" x14ac:dyDescent="0.25">
      <c r="A527" s="9">
        <v>514</v>
      </c>
      <c r="B527" s="33"/>
      <c r="C527" s="2" t="s">
        <v>693</v>
      </c>
      <c r="D527" s="13" t="s">
        <v>694</v>
      </c>
      <c r="E527" s="1">
        <f>Table1[[#This Row],[QUANTITY]]-Table1[[#This Row],[CONSUMPTION]]</f>
        <v>1</v>
      </c>
      <c r="F527" s="1">
        <v>1</v>
      </c>
      <c r="G527" s="1" t="s">
        <v>365</v>
      </c>
      <c r="H527" s="4"/>
      <c r="I527" s="32">
        <f t="shared" si="8"/>
        <v>0</v>
      </c>
      <c r="J527" s="4" t="s">
        <v>684</v>
      </c>
      <c r="K527" s="1" t="s">
        <v>105</v>
      </c>
      <c r="L527" s="4"/>
      <c r="M527" s="4"/>
    </row>
    <row r="528" spans="1:13" ht="15" customHeight="1" x14ac:dyDescent="0.25">
      <c r="A528" s="9">
        <v>515</v>
      </c>
      <c r="B528" s="33"/>
      <c r="C528" s="2" t="s">
        <v>695</v>
      </c>
      <c r="D528" s="13" t="s">
        <v>696</v>
      </c>
      <c r="E528" s="1">
        <f>Table1[[#This Row],[QUANTITY]]-Table1[[#This Row],[CONSUMPTION]]</f>
        <v>3</v>
      </c>
      <c r="F528" s="1">
        <v>3</v>
      </c>
      <c r="G528" s="1" t="s">
        <v>365</v>
      </c>
      <c r="H528" s="4"/>
      <c r="I528" s="32">
        <f t="shared" si="8"/>
        <v>0</v>
      </c>
      <c r="J528" s="4" t="s">
        <v>684</v>
      </c>
      <c r="K528" s="1" t="s">
        <v>105</v>
      </c>
      <c r="L528" s="4"/>
      <c r="M528" s="4"/>
    </row>
    <row r="529" spans="1:13" ht="15" customHeight="1" x14ac:dyDescent="0.25">
      <c r="A529" s="9">
        <v>516</v>
      </c>
      <c r="B529" s="33"/>
      <c r="C529" s="2" t="s">
        <v>697</v>
      </c>
      <c r="D529" s="13" t="s">
        <v>698</v>
      </c>
      <c r="E529" s="1">
        <f>Table1[[#This Row],[QUANTITY]]-Table1[[#This Row],[CONSUMPTION]]</f>
        <v>20</v>
      </c>
      <c r="F529" s="1">
        <v>20</v>
      </c>
      <c r="G529" s="1" t="s">
        <v>40</v>
      </c>
      <c r="H529" s="4"/>
      <c r="I529" s="32">
        <f t="shared" si="8"/>
        <v>0</v>
      </c>
      <c r="J529" s="4" t="s">
        <v>684</v>
      </c>
      <c r="K529" s="1" t="s">
        <v>105</v>
      </c>
      <c r="L529" s="4"/>
      <c r="M529" s="4"/>
    </row>
    <row r="530" spans="1:13" ht="15" customHeight="1" x14ac:dyDescent="0.25">
      <c r="A530" s="9">
        <v>517</v>
      </c>
      <c r="B530" s="34"/>
      <c r="C530" s="11" t="s">
        <v>699</v>
      </c>
      <c r="D530" s="14" t="s">
        <v>700</v>
      </c>
      <c r="E530" s="1">
        <f>Table1[[#This Row],[QUANTITY]]-Table1[[#This Row],[CONSUMPTION]]</f>
        <v>1</v>
      </c>
      <c r="F530" s="12">
        <v>2</v>
      </c>
      <c r="G530" s="12" t="s">
        <v>40</v>
      </c>
      <c r="H530" s="10"/>
      <c r="I530" s="32">
        <f t="shared" si="8"/>
        <v>0</v>
      </c>
      <c r="J530" s="10" t="s">
        <v>701</v>
      </c>
      <c r="K530" s="12" t="s">
        <v>105</v>
      </c>
      <c r="L530" s="10">
        <v>1</v>
      </c>
      <c r="M530" s="10" t="s">
        <v>702</v>
      </c>
    </row>
    <row r="531" spans="1:13" ht="15" customHeight="1" x14ac:dyDescent="0.25">
      <c r="A531" s="9">
        <v>518</v>
      </c>
      <c r="B531" s="11"/>
      <c r="C531" s="11" t="s">
        <v>703</v>
      </c>
      <c r="D531" s="14" t="s">
        <v>704</v>
      </c>
      <c r="E531" s="12">
        <f>Table1[[#This Row],[QUANTITY]]-Table1[[#This Row],[CONSUMPTION]]</f>
        <v>1</v>
      </c>
      <c r="F531" s="12">
        <v>1</v>
      </c>
      <c r="G531" s="12" t="s">
        <v>365</v>
      </c>
      <c r="H531" s="10"/>
      <c r="I531" s="32">
        <f t="shared" si="8"/>
        <v>0</v>
      </c>
      <c r="J531" s="4" t="s">
        <v>684</v>
      </c>
      <c r="K531" s="12" t="s">
        <v>105</v>
      </c>
      <c r="L531" s="10"/>
      <c r="M531" s="10"/>
    </row>
    <row r="532" spans="1:13" ht="15" customHeight="1" x14ac:dyDescent="0.25">
      <c r="A532" s="9">
        <v>519</v>
      </c>
      <c r="B532" s="34"/>
      <c r="C532" s="11" t="s">
        <v>705</v>
      </c>
      <c r="D532" s="14" t="s">
        <v>706</v>
      </c>
      <c r="E532" s="12">
        <f>Table1[[#This Row],[QUANTITY]]-Table1[[#This Row],[CONSUMPTION]]</f>
        <v>2</v>
      </c>
      <c r="F532" s="12">
        <v>2</v>
      </c>
      <c r="G532" s="12" t="s">
        <v>40</v>
      </c>
      <c r="H532" s="10"/>
      <c r="I532" s="32">
        <f t="shared" si="8"/>
        <v>0</v>
      </c>
      <c r="J532" s="4" t="s">
        <v>9</v>
      </c>
      <c r="K532" s="12"/>
      <c r="L532" s="10"/>
      <c r="M532" s="10"/>
    </row>
    <row r="533" spans="1:13" ht="15" customHeight="1" x14ac:dyDescent="0.25">
      <c r="A533" s="9">
        <v>520</v>
      </c>
      <c r="B533" s="34"/>
      <c r="C533" s="11" t="s">
        <v>707</v>
      </c>
      <c r="D533" s="14" t="s">
        <v>708</v>
      </c>
      <c r="E533" s="12">
        <f>Table1[[#This Row],[QUANTITY]]-Table1[[#This Row],[CONSUMPTION]]</f>
        <v>5</v>
      </c>
      <c r="F533" s="12">
        <v>5</v>
      </c>
      <c r="G533" s="12" t="s">
        <v>40</v>
      </c>
      <c r="H533" s="10"/>
      <c r="I533" s="32">
        <f t="shared" si="8"/>
        <v>0</v>
      </c>
      <c r="J533" s="4" t="s">
        <v>684</v>
      </c>
      <c r="K533" s="12" t="s">
        <v>105</v>
      </c>
      <c r="L533" s="10"/>
      <c r="M533" s="10"/>
    </row>
    <row r="534" spans="1:13" ht="15" customHeight="1" x14ac:dyDescent="0.25">
      <c r="A534" s="9">
        <v>521</v>
      </c>
      <c r="B534" s="34"/>
      <c r="C534" s="11"/>
      <c r="D534" s="14" t="s">
        <v>709</v>
      </c>
      <c r="E534" s="12">
        <f>Table1[[#This Row],[QUANTITY]]-Table1[[#This Row],[CONSUMPTION]]</f>
        <v>2</v>
      </c>
      <c r="F534" s="12">
        <v>2</v>
      </c>
      <c r="G534" s="12" t="s">
        <v>40</v>
      </c>
      <c r="H534" s="10"/>
      <c r="I534" s="32">
        <f t="shared" si="8"/>
        <v>0</v>
      </c>
      <c r="J534" s="4" t="s">
        <v>684</v>
      </c>
      <c r="K534" s="12" t="s">
        <v>105</v>
      </c>
      <c r="L534" s="10"/>
      <c r="M534" s="10"/>
    </row>
    <row r="535" spans="1:13" ht="15" customHeight="1" x14ac:dyDescent="0.25">
      <c r="A535" s="9">
        <v>522</v>
      </c>
      <c r="B535" s="34"/>
      <c r="C535" s="11" t="s">
        <v>710</v>
      </c>
      <c r="D535" s="14" t="s">
        <v>711</v>
      </c>
      <c r="E535" s="12">
        <f>Table1[[#This Row],[QUANTITY]]-Table1[[#This Row],[CONSUMPTION]]</f>
        <v>1</v>
      </c>
      <c r="F535" s="12">
        <v>1</v>
      </c>
      <c r="G535" s="12" t="s">
        <v>365</v>
      </c>
      <c r="H535" s="10"/>
      <c r="I535" s="32">
        <f t="shared" si="8"/>
        <v>0</v>
      </c>
      <c r="J535" s="4" t="s">
        <v>684</v>
      </c>
      <c r="K535" s="12" t="s">
        <v>685</v>
      </c>
      <c r="L535" s="10"/>
      <c r="M535" s="10"/>
    </row>
    <row r="536" spans="1:13" ht="15" customHeight="1" x14ac:dyDescent="0.25">
      <c r="A536" s="9">
        <v>523</v>
      </c>
      <c r="B536" s="34"/>
      <c r="C536" s="11" t="s">
        <v>712</v>
      </c>
      <c r="D536" s="14" t="s">
        <v>641</v>
      </c>
      <c r="E536" s="12">
        <f>Table1[[#This Row],[QUANTITY]]-Table1[[#This Row],[CONSUMPTION]]</f>
        <v>1</v>
      </c>
      <c r="F536" s="12">
        <v>1</v>
      </c>
      <c r="G536" s="12" t="s">
        <v>40</v>
      </c>
      <c r="H536" s="10"/>
      <c r="I536" s="32">
        <f t="shared" si="8"/>
        <v>0</v>
      </c>
      <c r="J536" s="4" t="s">
        <v>713</v>
      </c>
      <c r="K536" s="12" t="s">
        <v>276</v>
      </c>
      <c r="L536" s="10"/>
      <c r="M536" s="10"/>
    </row>
    <row r="537" spans="1:13" ht="15" customHeight="1" x14ac:dyDescent="0.25">
      <c r="A537" s="9">
        <v>524</v>
      </c>
      <c r="B537" s="34"/>
      <c r="C537" s="11" t="s">
        <v>714</v>
      </c>
      <c r="D537" s="14" t="s">
        <v>641</v>
      </c>
      <c r="E537" s="12">
        <f>Table1[[#This Row],[QUANTITY]]-Table1[[#This Row],[CONSUMPTION]]</f>
        <v>2</v>
      </c>
      <c r="F537" s="12">
        <v>2</v>
      </c>
      <c r="G537" s="12" t="s">
        <v>40</v>
      </c>
      <c r="H537" s="10"/>
      <c r="I537" s="32">
        <f t="shared" si="8"/>
        <v>0</v>
      </c>
      <c r="J537" s="10" t="s">
        <v>713</v>
      </c>
      <c r="K537" s="12" t="s">
        <v>276</v>
      </c>
      <c r="L537" s="10"/>
      <c r="M537" s="10"/>
    </row>
    <row r="538" spans="1:13" ht="15" customHeight="1" x14ac:dyDescent="0.25">
      <c r="A538" s="9">
        <v>525</v>
      </c>
      <c r="B538" s="34"/>
      <c r="C538" s="11">
        <v>911207251300</v>
      </c>
      <c r="D538" s="14" t="s">
        <v>141</v>
      </c>
      <c r="E538" s="12">
        <f>Table1[[#This Row],[QUANTITY]]-Table1[[#This Row],[CONSUMPTION]]</f>
        <v>1</v>
      </c>
      <c r="F538" s="12">
        <v>1</v>
      </c>
      <c r="G538" s="12" t="s">
        <v>40</v>
      </c>
      <c r="H538" s="10"/>
      <c r="I538" s="32">
        <f t="shared" si="8"/>
        <v>0</v>
      </c>
      <c r="J538" s="10" t="s">
        <v>715</v>
      </c>
      <c r="K538" s="12" t="s">
        <v>716</v>
      </c>
      <c r="L538" s="10"/>
      <c r="M538" s="10"/>
    </row>
    <row r="539" spans="1:13" ht="15" customHeight="1" x14ac:dyDescent="0.25">
      <c r="A539" s="9">
        <v>526</v>
      </c>
      <c r="B539" s="34"/>
      <c r="C539" s="11">
        <v>911207250800</v>
      </c>
      <c r="D539" s="14" t="s">
        <v>141</v>
      </c>
      <c r="E539" s="12">
        <f>Table1[[#This Row],[QUANTITY]]-Table1[[#This Row],[CONSUMPTION]]</f>
        <v>1</v>
      </c>
      <c r="F539" s="12">
        <v>1</v>
      </c>
      <c r="G539" s="12" t="s">
        <v>40</v>
      </c>
      <c r="H539" s="10"/>
      <c r="I539" s="32">
        <f t="shared" si="8"/>
        <v>0</v>
      </c>
      <c r="J539" s="10" t="s">
        <v>715</v>
      </c>
      <c r="K539" s="12" t="s">
        <v>716</v>
      </c>
      <c r="L539" s="10"/>
      <c r="M539" s="10"/>
    </row>
    <row r="540" spans="1:13" ht="15" customHeight="1" x14ac:dyDescent="0.25">
      <c r="A540" s="9">
        <v>527</v>
      </c>
      <c r="B540" s="34"/>
      <c r="C540" s="11">
        <v>911202120650</v>
      </c>
      <c r="D540" s="14" t="s">
        <v>141</v>
      </c>
      <c r="E540" s="12">
        <f>Table1[[#This Row],[QUANTITY]]-Table1[[#This Row],[CONSUMPTION]]</f>
        <v>11</v>
      </c>
      <c r="F540" s="12">
        <v>11</v>
      </c>
      <c r="G540" s="12" t="s">
        <v>40</v>
      </c>
      <c r="H540" s="10"/>
      <c r="I540" s="32">
        <f t="shared" si="8"/>
        <v>0</v>
      </c>
      <c r="J540" s="10" t="s">
        <v>715</v>
      </c>
      <c r="K540" s="12" t="s">
        <v>716</v>
      </c>
      <c r="L540" s="10"/>
      <c r="M540" s="10"/>
    </row>
    <row r="541" spans="1:13" ht="15" customHeight="1" x14ac:dyDescent="0.25">
      <c r="A541" s="9">
        <v>528</v>
      </c>
      <c r="B541" s="34"/>
      <c r="C541" s="11">
        <v>911202120500</v>
      </c>
      <c r="D541" s="14" t="s">
        <v>141</v>
      </c>
      <c r="E541" s="12">
        <f>Table1[[#This Row],[QUANTITY]]-Table1[[#This Row],[CONSUMPTION]]</f>
        <v>9</v>
      </c>
      <c r="F541" s="12">
        <v>9</v>
      </c>
      <c r="G541" s="12" t="s">
        <v>40</v>
      </c>
      <c r="H541" s="10"/>
      <c r="I541" s="32">
        <f t="shared" si="8"/>
        <v>0</v>
      </c>
      <c r="J541" s="10" t="s">
        <v>715</v>
      </c>
      <c r="K541" s="12" t="s">
        <v>716</v>
      </c>
      <c r="L541" s="10"/>
      <c r="M541" s="10"/>
    </row>
    <row r="542" spans="1:13" ht="15" customHeight="1" x14ac:dyDescent="0.25">
      <c r="A542" s="9">
        <v>529</v>
      </c>
      <c r="B542" s="34"/>
      <c r="C542" s="11">
        <v>911202121300</v>
      </c>
      <c r="D542" s="14" t="s">
        <v>141</v>
      </c>
      <c r="E542" s="12">
        <f>Table1[[#This Row],[QUANTITY]]-Table1[[#This Row],[CONSUMPTION]]</f>
        <v>4</v>
      </c>
      <c r="F542" s="12">
        <v>4</v>
      </c>
      <c r="G542" s="12" t="s">
        <v>40</v>
      </c>
      <c r="H542" s="10"/>
      <c r="I542" s="32">
        <f t="shared" si="8"/>
        <v>0</v>
      </c>
      <c r="J542" s="10" t="s">
        <v>715</v>
      </c>
      <c r="K542" s="12" t="s">
        <v>716</v>
      </c>
      <c r="L542" s="10"/>
      <c r="M542" s="10"/>
    </row>
    <row r="543" spans="1:13" ht="15" customHeight="1" x14ac:dyDescent="0.25">
      <c r="A543" s="9">
        <v>530</v>
      </c>
      <c r="B543" s="34"/>
      <c r="C543" s="11">
        <v>911002120650</v>
      </c>
      <c r="D543" s="14" t="s">
        <v>141</v>
      </c>
      <c r="E543" s="12">
        <f>Table1[[#This Row],[QUANTITY]]-Table1[[#This Row],[CONSUMPTION]]</f>
        <v>3</v>
      </c>
      <c r="F543" s="12">
        <v>3</v>
      </c>
      <c r="G543" s="12" t="s">
        <v>40</v>
      </c>
      <c r="H543" s="10"/>
      <c r="I543" s="32">
        <f t="shared" si="8"/>
        <v>0</v>
      </c>
      <c r="J543" s="10" t="s">
        <v>715</v>
      </c>
      <c r="K543" s="12" t="s">
        <v>716</v>
      </c>
      <c r="L543" s="10"/>
      <c r="M543" s="10"/>
    </row>
    <row r="544" spans="1:13" ht="15" customHeight="1" x14ac:dyDescent="0.25">
      <c r="A544" s="9">
        <v>531</v>
      </c>
      <c r="B544" s="34"/>
      <c r="C544" s="11">
        <v>911202122100</v>
      </c>
      <c r="D544" s="14" t="s">
        <v>141</v>
      </c>
      <c r="E544" s="12">
        <f>Table1[[#This Row],[QUANTITY]]-Table1[[#This Row],[CONSUMPTION]]</f>
        <v>5</v>
      </c>
      <c r="F544" s="12">
        <v>5</v>
      </c>
      <c r="G544" s="12" t="s">
        <v>40</v>
      </c>
      <c r="H544" s="10"/>
      <c r="I544" s="32">
        <f t="shared" si="8"/>
        <v>0</v>
      </c>
      <c r="J544" s="10" t="s">
        <v>715</v>
      </c>
      <c r="K544" s="12" t="s">
        <v>716</v>
      </c>
      <c r="L544" s="10"/>
      <c r="M544" s="10"/>
    </row>
    <row r="545" spans="1:13" ht="15" customHeight="1" x14ac:dyDescent="0.25">
      <c r="A545" s="9">
        <v>532</v>
      </c>
      <c r="B545" s="34"/>
      <c r="C545" s="11">
        <v>911202122600</v>
      </c>
      <c r="D545" s="14" t="s">
        <v>141</v>
      </c>
      <c r="E545" s="12">
        <f>Table1[[#This Row],[QUANTITY]]-Table1[[#This Row],[CONSUMPTION]]</f>
        <v>7</v>
      </c>
      <c r="F545" s="12">
        <v>7</v>
      </c>
      <c r="G545" s="12" t="s">
        <v>40</v>
      </c>
      <c r="H545" s="10"/>
      <c r="I545" s="32">
        <f t="shared" si="8"/>
        <v>0</v>
      </c>
      <c r="J545" s="10" t="s">
        <v>715</v>
      </c>
      <c r="K545" s="12" t="s">
        <v>716</v>
      </c>
      <c r="L545" s="10"/>
      <c r="M545" s="10"/>
    </row>
    <row r="546" spans="1:13" ht="15" customHeight="1" x14ac:dyDescent="0.25">
      <c r="A546" s="9">
        <v>533</v>
      </c>
      <c r="B546" s="34"/>
      <c r="C546" s="11">
        <v>912001250510</v>
      </c>
      <c r="D546" s="14" t="s">
        <v>141</v>
      </c>
      <c r="E546" s="12">
        <f>Table1[[#This Row],[QUANTITY]]-Table1[[#This Row],[CONSUMPTION]]</f>
        <v>1</v>
      </c>
      <c r="F546" s="12">
        <v>1</v>
      </c>
      <c r="G546" s="12" t="s">
        <v>40</v>
      </c>
      <c r="H546" s="10"/>
      <c r="I546" s="32">
        <f t="shared" si="8"/>
        <v>0</v>
      </c>
      <c r="J546" s="10" t="s">
        <v>715</v>
      </c>
      <c r="K546" s="12" t="s">
        <v>716</v>
      </c>
      <c r="L546" s="10"/>
      <c r="M546" s="10"/>
    </row>
    <row r="547" spans="1:13" ht="15" customHeight="1" x14ac:dyDescent="0.25">
      <c r="A547" s="9">
        <v>534</v>
      </c>
      <c r="B547" s="34"/>
      <c r="C547" s="11">
        <v>911202062250</v>
      </c>
      <c r="D547" s="14" t="s">
        <v>141</v>
      </c>
      <c r="E547" s="12">
        <f>Table1[[#This Row],[QUANTITY]]-Table1[[#This Row],[CONSUMPTION]]</f>
        <v>1</v>
      </c>
      <c r="F547" s="12">
        <v>1</v>
      </c>
      <c r="G547" s="12" t="s">
        <v>40</v>
      </c>
      <c r="H547" s="10"/>
      <c r="I547" s="32">
        <f t="shared" si="8"/>
        <v>0</v>
      </c>
      <c r="J547" s="10" t="s">
        <v>715</v>
      </c>
      <c r="K547" s="12" t="s">
        <v>716</v>
      </c>
      <c r="L547" s="10"/>
      <c r="M547" s="10"/>
    </row>
    <row r="548" spans="1:13" ht="15" customHeight="1" x14ac:dyDescent="0.25">
      <c r="A548" s="9">
        <v>535</v>
      </c>
      <c r="B548" s="34"/>
      <c r="C548" s="11">
        <v>912401063100</v>
      </c>
      <c r="D548" s="14" t="s">
        <v>141</v>
      </c>
      <c r="E548" s="12">
        <f>Table1[[#This Row],[QUANTITY]]-Table1[[#This Row],[CONSUMPTION]]</f>
        <v>1</v>
      </c>
      <c r="F548" s="12">
        <v>1</v>
      </c>
      <c r="G548" s="12" t="s">
        <v>40</v>
      </c>
      <c r="H548" s="10"/>
      <c r="I548" s="32">
        <f t="shared" si="8"/>
        <v>0</v>
      </c>
      <c r="J548" s="10" t="s">
        <v>715</v>
      </c>
      <c r="K548" s="12" t="s">
        <v>716</v>
      </c>
      <c r="L548" s="10"/>
      <c r="M548" s="10"/>
    </row>
    <row r="549" spans="1:13" ht="15" customHeight="1" x14ac:dyDescent="0.25">
      <c r="A549" s="9">
        <v>536</v>
      </c>
      <c r="B549" s="34"/>
      <c r="C549" s="11">
        <v>91100125200</v>
      </c>
      <c r="D549" s="14" t="s">
        <v>141</v>
      </c>
      <c r="E549" s="12">
        <f>Table1[[#This Row],[QUANTITY]]-Table1[[#This Row],[CONSUMPTION]]</f>
        <v>1</v>
      </c>
      <c r="F549" s="12">
        <v>1</v>
      </c>
      <c r="G549" s="12" t="s">
        <v>40</v>
      </c>
      <c r="H549" s="10"/>
      <c r="I549" s="32">
        <f t="shared" si="8"/>
        <v>0</v>
      </c>
      <c r="J549" s="10" t="s">
        <v>715</v>
      </c>
      <c r="K549" s="12" t="s">
        <v>716</v>
      </c>
      <c r="L549" s="10"/>
      <c r="M549" s="10"/>
    </row>
    <row r="550" spans="1:13" ht="15" customHeight="1" x14ac:dyDescent="0.25">
      <c r="A550" s="9">
        <v>537</v>
      </c>
      <c r="B550" s="34"/>
      <c r="C550" s="11">
        <v>912002123800</v>
      </c>
      <c r="D550" s="14" t="s">
        <v>141</v>
      </c>
      <c r="E550" s="12">
        <f>Table1[[#This Row],[QUANTITY]]-Table1[[#This Row],[CONSUMPTION]]</f>
        <v>11</v>
      </c>
      <c r="F550" s="12">
        <v>11</v>
      </c>
      <c r="G550" s="12" t="s">
        <v>40</v>
      </c>
      <c r="H550" s="10"/>
      <c r="I550" s="32">
        <f t="shared" si="8"/>
        <v>0</v>
      </c>
      <c r="J550" s="10" t="s">
        <v>715</v>
      </c>
      <c r="K550" s="12" t="s">
        <v>716</v>
      </c>
      <c r="L550" s="10"/>
      <c r="M550" s="10"/>
    </row>
    <row r="551" spans="1:13" ht="15" customHeight="1" x14ac:dyDescent="0.25">
      <c r="A551" s="9">
        <v>538</v>
      </c>
      <c r="B551" s="34"/>
      <c r="C551" s="11" t="s">
        <v>717</v>
      </c>
      <c r="D551" s="14" t="s">
        <v>141</v>
      </c>
      <c r="E551" s="12">
        <f>Table1[[#This Row],[QUANTITY]]-Table1[[#This Row],[CONSUMPTION]]</f>
        <v>1</v>
      </c>
      <c r="F551" s="12">
        <v>1</v>
      </c>
      <c r="G551" s="12" t="s">
        <v>40</v>
      </c>
      <c r="H551" s="10"/>
      <c r="I551" s="32">
        <f t="shared" si="8"/>
        <v>0</v>
      </c>
      <c r="J551" s="10"/>
      <c r="K551" s="12" t="s">
        <v>718</v>
      </c>
      <c r="L551" s="10"/>
      <c r="M551" s="10"/>
    </row>
    <row r="552" spans="1:13" ht="15" customHeight="1" x14ac:dyDescent="0.25">
      <c r="A552" s="9">
        <v>539</v>
      </c>
      <c r="B552" s="34"/>
      <c r="C552" s="11">
        <v>911207251100</v>
      </c>
      <c r="D552" s="14" t="s">
        <v>141</v>
      </c>
      <c r="E552" s="12">
        <f>Table1[[#This Row],[QUANTITY]]-Table1[[#This Row],[CONSUMPTION]]</f>
        <v>1</v>
      </c>
      <c r="F552" s="12">
        <v>1</v>
      </c>
      <c r="G552" s="12" t="s">
        <v>40</v>
      </c>
      <c r="H552" s="10"/>
      <c r="I552" s="32">
        <f t="shared" si="8"/>
        <v>0</v>
      </c>
      <c r="J552" s="10" t="s">
        <v>715</v>
      </c>
      <c r="K552" s="12" t="s">
        <v>716</v>
      </c>
      <c r="L552" s="10"/>
      <c r="M552" s="10"/>
    </row>
    <row r="553" spans="1:13" ht="15" customHeight="1" x14ac:dyDescent="0.25">
      <c r="A553" s="9">
        <v>540</v>
      </c>
      <c r="B553" s="34"/>
      <c r="C553" s="11"/>
      <c r="D553" s="14" t="s">
        <v>719</v>
      </c>
      <c r="E553" s="12">
        <f>Table1[[#This Row],[QUANTITY]]-Table1[[#This Row],[CONSUMPTION]]</f>
        <v>1</v>
      </c>
      <c r="F553" s="12">
        <v>1</v>
      </c>
      <c r="G553" s="12" t="s">
        <v>40</v>
      </c>
      <c r="H553" s="10"/>
      <c r="I553" s="32">
        <f t="shared" si="8"/>
        <v>0</v>
      </c>
      <c r="J553" s="10"/>
      <c r="K553" s="12" t="s">
        <v>718</v>
      </c>
      <c r="L553" s="10"/>
      <c r="M553" s="10"/>
    </row>
    <row r="554" spans="1:13" ht="15" customHeight="1" x14ac:dyDescent="0.25">
      <c r="A554" s="9">
        <v>541</v>
      </c>
      <c r="B554" s="34"/>
      <c r="C554" s="11"/>
      <c r="D554" s="14" t="s">
        <v>719</v>
      </c>
      <c r="E554" s="12">
        <f>Table1[[#This Row],[QUANTITY]]-Table1[[#This Row],[CONSUMPTION]]</f>
        <v>1</v>
      </c>
      <c r="F554" s="12">
        <v>1</v>
      </c>
      <c r="G554" s="12" t="s">
        <v>40</v>
      </c>
      <c r="H554" s="10"/>
      <c r="I554" s="32">
        <f t="shared" si="8"/>
        <v>0</v>
      </c>
      <c r="J554" s="10"/>
      <c r="K554" s="12" t="s">
        <v>718</v>
      </c>
      <c r="L554" s="10"/>
      <c r="M554" s="10"/>
    </row>
    <row r="555" spans="1:13" ht="15" customHeight="1" x14ac:dyDescent="0.25">
      <c r="A555" s="9">
        <v>542</v>
      </c>
      <c r="B555" s="34"/>
      <c r="C555" s="11"/>
      <c r="D555" s="14" t="s">
        <v>719</v>
      </c>
      <c r="E555" s="12">
        <f>Table1[[#This Row],[QUANTITY]]-Table1[[#This Row],[CONSUMPTION]]</f>
        <v>1</v>
      </c>
      <c r="F555" s="12">
        <v>1</v>
      </c>
      <c r="G555" s="12" t="s">
        <v>40</v>
      </c>
      <c r="H555" s="10"/>
      <c r="I555" s="32">
        <f t="shared" si="8"/>
        <v>0</v>
      </c>
      <c r="J555" s="10"/>
      <c r="K555" s="12" t="s">
        <v>718</v>
      </c>
      <c r="L555" s="10"/>
      <c r="M555" s="10"/>
    </row>
    <row r="556" spans="1:13" ht="15" customHeight="1" x14ac:dyDescent="0.25">
      <c r="A556" s="9">
        <v>543</v>
      </c>
      <c r="B556" s="11">
        <v>570623126346</v>
      </c>
      <c r="C556" s="11"/>
      <c r="D556" s="14" t="s">
        <v>641</v>
      </c>
      <c r="E556" s="12">
        <f>Table1[[#This Row],[QUANTITY]]-Table1[[#This Row],[CONSUMPTION]]</f>
        <v>1</v>
      </c>
      <c r="F556" s="12">
        <v>1</v>
      </c>
      <c r="G556" s="12" t="s">
        <v>40</v>
      </c>
      <c r="H556" s="10"/>
      <c r="I556" s="32">
        <f t="shared" si="8"/>
        <v>0</v>
      </c>
      <c r="J556" s="10" t="s">
        <v>713</v>
      </c>
      <c r="K556" s="12" t="s">
        <v>183</v>
      </c>
      <c r="L556" s="10"/>
      <c r="M556" s="10"/>
    </row>
    <row r="557" spans="1:13" ht="15" customHeight="1" x14ac:dyDescent="0.25">
      <c r="A557" s="9">
        <v>544</v>
      </c>
      <c r="B557" s="11">
        <v>570915409901</v>
      </c>
      <c r="C557" s="11"/>
      <c r="D557" s="14" t="s">
        <v>720</v>
      </c>
      <c r="E557" s="12">
        <f>Table1[[#This Row],[QUANTITY]]-Table1[[#This Row],[CONSUMPTION]]</f>
        <v>1</v>
      </c>
      <c r="F557" s="12">
        <v>1</v>
      </c>
      <c r="G557" s="12" t="s">
        <v>40</v>
      </c>
      <c r="H557" s="10"/>
      <c r="I557" s="32">
        <f t="shared" si="8"/>
        <v>0</v>
      </c>
      <c r="J557" s="10" t="s">
        <v>713</v>
      </c>
      <c r="K557" s="12" t="s">
        <v>44</v>
      </c>
      <c r="L557" s="10"/>
      <c r="M557" s="10"/>
    </row>
    <row r="558" spans="1:13" ht="15" customHeight="1" x14ac:dyDescent="0.25">
      <c r="A558" s="9">
        <v>545</v>
      </c>
      <c r="B558" s="11">
        <v>560391000240</v>
      </c>
      <c r="C558" s="11"/>
      <c r="D558" s="14" t="s">
        <v>721</v>
      </c>
      <c r="E558" s="12">
        <f>Table1[[#This Row],[QUANTITY]]-Table1[[#This Row],[CONSUMPTION]]</f>
        <v>1</v>
      </c>
      <c r="F558" s="12">
        <v>1</v>
      </c>
      <c r="G558" s="12" t="s">
        <v>40</v>
      </c>
      <c r="H558" s="10"/>
      <c r="I558" s="32">
        <f t="shared" si="8"/>
        <v>0</v>
      </c>
      <c r="J558" s="10" t="s">
        <v>8</v>
      </c>
      <c r="K558" s="12" t="s">
        <v>498</v>
      </c>
      <c r="L558" s="10"/>
      <c r="M558" s="10"/>
    </row>
    <row r="559" spans="1:13" ht="15" customHeight="1" x14ac:dyDescent="0.25">
      <c r="A559" s="9">
        <v>546</v>
      </c>
      <c r="B559" s="34"/>
      <c r="C559" s="11" t="s">
        <v>722</v>
      </c>
      <c r="D559" s="14" t="s">
        <v>723</v>
      </c>
      <c r="E559" s="12">
        <f>Table1[[#This Row],[QUANTITY]]-Table1[[#This Row],[CONSUMPTION]]</f>
        <v>4</v>
      </c>
      <c r="F559" s="12">
        <v>4</v>
      </c>
      <c r="G559" s="12" t="s">
        <v>40</v>
      </c>
      <c r="H559" s="10"/>
      <c r="I559" s="32">
        <f t="shared" si="8"/>
        <v>0</v>
      </c>
      <c r="J559" s="10" t="s">
        <v>13</v>
      </c>
      <c r="K559" s="12" t="s">
        <v>309</v>
      </c>
      <c r="L559" s="10"/>
      <c r="M559" s="10"/>
    </row>
    <row r="560" spans="1:13" ht="15" customHeight="1" x14ac:dyDescent="0.25">
      <c r="A560" s="9">
        <v>547</v>
      </c>
      <c r="B560" s="34"/>
      <c r="C560" s="11"/>
      <c r="D560" s="14" t="s">
        <v>724</v>
      </c>
      <c r="E560" s="12">
        <f>Table1[[#This Row],[QUANTITY]]-Table1[[#This Row],[CONSUMPTION]]</f>
        <v>4</v>
      </c>
      <c r="F560" s="12">
        <v>4</v>
      </c>
      <c r="G560" s="12" t="s">
        <v>40</v>
      </c>
      <c r="H560" s="10"/>
      <c r="I560" s="32">
        <f t="shared" si="8"/>
        <v>0</v>
      </c>
      <c r="J560" s="10" t="s">
        <v>14</v>
      </c>
      <c r="K560" s="12" t="s">
        <v>118</v>
      </c>
      <c r="L560" s="10"/>
      <c r="M560" s="10"/>
    </row>
    <row r="561" spans="1:13" ht="15" customHeight="1" x14ac:dyDescent="0.25">
      <c r="A561" s="9">
        <v>548</v>
      </c>
      <c r="B561" s="33"/>
      <c r="C561" s="2"/>
      <c r="D561" s="14" t="s">
        <v>725</v>
      </c>
      <c r="E561" s="12">
        <f>Table1[[#This Row],[QUANTITY]]-Table1[[#This Row],[CONSUMPTION]]</f>
        <v>4</v>
      </c>
      <c r="F561" s="1">
        <v>4</v>
      </c>
      <c r="G561" s="12" t="s">
        <v>40</v>
      </c>
      <c r="H561" s="4"/>
      <c r="I561" s="32">
        <f t="shared" si="8"/>
        <v>0</v>
      </c>
      <c r="J561" s="4" t="s">
        <v>14</v>
      </c>
      <c r="K561" s="1" t="s">
        <v>118</v>
      </c>
      <c r="L561" s="4"/>
      <c r="M561" s="4"/>
    </row>
    <row r="562" spans="1:13" ht="15" customHeight="1" x14ac:dyDescent="0.25">
      <c r="A562" s="9">
        <v>549</v>
      </c>
      <c r="B562" s="33"/>
      <c r="C562" s="2"/>
      <c r="D562" s="14" t="s">
        <v>726</v>
      </c>
      <c r="E562" s="40">
        <f>Table1[[#This Row],[QUANTITY]]-Table1[[#This Row],[CONSUMPTION]]</f>
        <v>5</v>
      </c>
      <c r="F562" s="1">
        <v>5</v>
      </c>
      <c r="G562" s="12" t="s">
        <v>40</v>
      </c>
      <c r="H562" s="4"/>
      <c r="I562" s="32">
        <f t="shared" si="8"/>
        <v>0</v>
      </c>
      <c r="J562" s="4" t="s">
        <v>14</v>
      </c>
      <c r="K562" s="1" t="s">
        <v>118</v>
      </c>
      <c r="L562" s="4"/>
      <c r="M562" s="4"/>
    </row>
    <row r="563" spans="1:13" ht="15" customHeight="1" x14ac:dyDescent="0.25">
      <c r="A563" s="9">
        <v>550</v>
      </c>
      <c r="B563" s="34"/>
      <c r="C563" s="2"/>
      <c r="D563" s="14" t="s">
        <v>727</v>
      </c>
      <c r="E563" s="12">
        <f>Table1[[#This Row],[QUANTITY]]-Table1[[#This Row],[CONSUMPTION]]</f>
        <v>5</v>
      </c>
      <c r="F563" s="12">
        <v>5</v>
      </c>
      <c r="G563" s="12" t="s">
        <v>40</v>
      </c>
      <c r="H563" s="10"/>
      <c r="I563" s="32">
        <f t="shared" si="8"/>
        <v>0</v>
      </c>
      <c r="J563" s="10" t="s">
        <v>14</v>
      </c>
      <c r="K563" s="12" t="s">
        <v>118</v>
      </c>
      <c r="L563" s="10"/>
      <c r="M563" s="10"/>
    </row>
    <row r="564" spans="1:13" ht="15" customHeight="1" x14ac:dyDescent="0.25">
      <c r="A564" s="9">
        <v>551</v>
      </c>
      <c r="B564" s="34"/>
      <c r="C564" s="2"/>
      <c r="D564" s="14" t="s">
        <v>728</v>
      </c>
      <c r="E564" s="12">
        <f>Table1[[#This Row],[QUANTITY]]-Table1[[#This Row],[CONSUMPTION]]</f>
        <v>3</v>
      </c>
      <c r="F564" s="12">
        <v>3</v>
      </c>
      <c r="G564" s="12" t="s">
        <v>40</v>
      </c>
      <c r="H564" s="10"/>
      <c r="I564" s="32">
        <f t="shared" si="8"/>
        <v>0</v>
      </c>
      <c r="J564" s="10" t="s">
        <v>14</v>
      </c>
      <c r="K564" s="12" t="s">
        <v>118</v>
      </c>
      <c r="L564" s="10"/>
      <c r="M564" s="10"/>
    </row>
    <row r="565" spans="1:13" ht="15" customHeight="1" x14ac:dyDescent="0.25">
      <c r="A565" s="9">
        <v>552</v>
      </c>
      <c r="B565" s="34"/>
      <c r="C565" s="2"/>
      <c r="D565" s="14" t="s">
        <v>729</v>
      </c>
      <c r="E565" s="12">
        <f>Table1[[#This Row],[QUANTITY]]-Table1[[#This Row],[CONSUMPTION]]</f>
        <v>2</v>
      </c>
      <c r="F565" s="12">
        <v>2</v>
      </c>
      <c r="G565" s="12" t="s">
        <v>40</v>
      </c>
      <c r="H565" s="10"/>
      <c r="I565" s="32">
        <f t="shared" si="8"/>
        <v>0</v>
      </c>
      <c r="J565" s="10" t="s">
        <v>14</v>
      </c>
      <c r="K565" s="12" t="s">
        <v>479</v>
      </c>
      <c r="L565" s="10"/>
      <c r="M565" s="10"/>
    </row>
    <row r="566" spans="1:13" ht="15" customHeight="1" x14ac:dyDescent="0.25">
      <c r="A566" s="9">
        <v>553</v>
      </c>
      <c r="B566" s="34">
        <v>564300003600</v>
      </c>
      <c r="C566" s="11"/>
      <c r="D566" s="14" t="s">
        <v>730</v>
      </c>
      <c r="E566" s="12">
        <f>Table1[[#This Row],[QUANTITY]]-Table1[[#This Row],[CONSUMPTION]]</f>
        <v>4</v>
      </c>
      <c r="F566" s="12">
        <v>4</v>
      </c>
      <c r="G566" s="12" t="s">
        <v>40</v>
      </c>
      <c r="H566" s="10"/>
      <c r="I566" s="32">
        <f t="shared" si="8"/>
        <v>0</v>
      </c>
      <c r="J566" s="10" t="s">
        <v>9</v>
      </c>
      <c r="K566" s="12" t="s">
        <v>678</v>
      </c>
      <c r="L566" s="10"/>
      <c r="M566" s="10"/>
    </row>
    <row r="567" spans="1:13" ht="15" customHeight="1" x14ac:dyDescent="0.25">
      <c r="A567" s="9">
        <v>554</v>
      </c>
      <c r="B567" s="34"/>
      <c r="C567" s="11"/>
      <c r="D567" s="14" t="s">
        <v>731</v>
      </c>
      <c r="E567" s="12">
        <f>Table1[[#This Row],[QUANTITY]]-Table1[[#This Row],[CONSUMPTION]]</f>
        <v>20</v>
      </c>
      <c r="F567" s="12">
        <v>20</v>
      </c>
      <c r="G567" s="12" t="s">
        <v>40</v>
      </c>
      <c r="H567" s="10"/>
      <c r="I567" s="32">
        <f t="shared" si="8"/>
        <v>0</v>
      </c>
      <c r="J567" s="10" t="s">
        <v>10</v>
      </c>
      <c r="K567" s="12" t="s">
        <v>678</v>
      </c>
      <c r="L567" s="10"/>
      <c r="M567" s="10"/>
    </row>
    <row r="568" spans="1:13" ht="15" customHeight="1" x14ac:dyDescent="0.25">
      <c r="A568" s="9">
        <v>555</v>
      </c>
      <c r="B568" s="33"/>
      <c r="C568" s="2" t="s">
        <v>732</v>
      </c>
      <c r="D568" s="13" t="s">
        <v>733</v>
      </c>
      <c r="E568" s="12">
        <f>Table1[[#This Row],[QUANTITY]]-Table1[[#This Row],[CONSUMPTION]]</f>
        <v>100</v>
      </c>
      <c r="F568" s="1">
        <v>100</v>
      </c>
      <c r="G568" s="12" t="s">
        <v>40</v>
      </c>
      <c r="H568" s="4"/>
      <c r="I568" s="32">
        <f t="shared" si="8"/>
        <v>0</v>
      </c>
      <c r="J568" s="10" t="s">
        <v>21</v>
      </c>
      <c r="K568" s="12" t="s">
        <v>396</v>
      </c>
      <c r="L568" s="4"/>
      <c r="M568" s="4"/>
    </row>
    <row r="569" spans="1:13" ht="15" customHeight="1" x14ac:dyDescent="0.25">
      <c r="A569" s="9">
        <v>556</v>
      </c>
      <c r="B569" s="33"/>
      <c r="C569" s="2"/>
      <c r="D569" s="13" t="s">
        <v>734</v>
      </c>
      <c r="E569" s="40">
        <f>Table1[[#This Row],[QUANTITY]]-Table1[[#This Row],[CONSUMPTION]]</f>
        <v>10</v>
      </c>
      <c r="F569" s="1">
        <v>10</v>
      </c>
      <c r="G569" s="12" t="s">
        <v>40</v>
      </c>
      <c r="H569" s="4"/>
      <c r="I569" s="32">
        <f t="shared" si="8"/>
        <v>0</v>
      </c>
      <c r="J569" s="10" t="s">
        <v>10</v>
      </c>
      <c r="K569" s="12" t="s">
        <v>678</v>
      </c>
      <c r="L569" s="4"/>
      <c r="M569" s="4"/>
    </row>
    <row r="570" spans="1:13" ht="15" customHeight="1" x14ac:dyDescent="0.25">
      <c r="A570" s="9">
        <v>557</v>
      </c>
      <c r="B570" s="33"/>
      <c r="C570" s="2"/>
      <c r="D570" s="13" t="s">
        <v>735</v>
      </c>
      <c r="E570" s="40">
        <f>Table1[[#This Row],[QUANTITY]]-Table1[[#This Row],[CONSUMPTION]]</f>
        <v>5</v>
      </c>
      <c r="F570" s="1">
        <v>5</v>
      </c>
      <c r="G570" s="12" t="s">
        <v>40</v>
      </c>
      <c r="H570" s="4"/>
      <c r="I570" s="32">
        <f t="shared" si="8"/>
        <v>0</v>
      </c>
      <c r="J570" s="10" t="s">
        <v>10</v>
      </c>
      <c r="K570" s="12" t="s">
        <v>678</v>
      </c>
      <c r="L570" s="4"/>
      <c r="M570" s="4"/>
    </row>
    <row r="571" spans="1:13" ht="15" customHeight="1" x14ac:dyDescent="0.25">
      <c r="A571" s="9">
        <v>558</v>
      </c>
      <c r="B571" s="34"/>
      <c r="C571" s="11"/>
      <c r="D571" s="14" t="s">
        <v>736</v>
      </c>
      <c r="E571" s="40">
        <f>Table1[[#This Row],[QUANTITY]]-Table1[[#This Row],[CONSUMPTION]]</f>
        <v>1</v>
      </c>
      <c r="F571" s="12">
        <v>1</v>
      </c>
      <c r="G571" s="12" t="s">
        <v>40</v>
      </c>
      <c r="H571" s="10"/>
      <c r="I571" s="32">
        <f t="shared" si="8"/>
        <v>0</v>
      </c>
      <c r="J571" s="10" t="s">
        <v>49</v>
      </c>
      <c r="K571" s="12" t="s">
        <v>321</v>
      </c>
      <c r="L571" s="10"/>
      <c r="M571" s="10"/>
    </row>
    <row r="572" spans="1:13" ht="15" customHeight="1" x14ac:dyDescent="0.25">
      <c r="A572" s="9">
        <v>559</v>
      </c>
      <c r="B572" s="34"/>
      <c r="C572" s="11"/>
      <c r="D572" s="14" t="s">
        <v>737</v>
      </c>
      <c r="E572" s="12">
        <f>Table1[[#This Row],[QUANTITY]]-Table1[[#This Row],[CONSUMPTION]]</f>
        <v>1</v>
      </c>
      <c r="F572" s="12">
        <v>1</v>
      </c>
      <c r="G572" s="12" t="s">
        <v>40</v>
      </c>
      <c r="H572" s="10"/>
      <c r="I572" s="32">
        <f t="shared" si="8"/>
        <v>0</v>
      </c>
      <c r="J572" s="10" t="s">
        <v>20</v>
      </c>
      <c r="K572" s="12" t="s">
        <v>685</v>
      </c>
      <c r="L572" s="10"/>
      <c r="M572" s="10"/>
    </row>
    <row r="573" spans="1:13" ht="15" customHeight="1" x14ac:dyDescent="0.25">
      <c r="A573" s="9">
        <v>560</v>
      </c>
      <c r="B573" s="34">
        <v>253414110389</v>
      </c>
      <c r="C573" s="34"/>
      <c r="D573" s="14" t="s">
        <v>738</v>
      </c>
      <c r="E573" s="12">
        <f>Table1[[#This Row],[QUANTITY]]-Table1[[#This Row],[CONSUMPTION]]</f>
        <v>1</v>
      </c>
      <c r="F573" s="12">
        <v>1</v>
      </c>
      <c r="G573" s="12" t="s">
        <v>40</v>
      </c>
      <c r="H573" s="10"/>
      <c r="I573" s="32">
        <f t="shared" si="8"/>
        <v>0</v>
      </c>
      <c r="J573" s="10" t="s">
        <v>49</v>
      </c>
      <c r="K573" s="12" t="s">
        <v>41</v>
      </c>
      <c r="L573" s="10"/>
      <c r="M573" s="10"/>
    </row>
    <row r="574" spans="1:13" ht="15" customHeight="1" x14ac:dyDescent="0.25">
      <c r="A574" s="9">
        <v>561</v>
      </c>
      <c r="B574" s="34">
        <v>570909129921</v>
      </c>
      <c r="C574" s="11"/>
      <c r="D574" s="14" t="s">
        <v>739</v>
      </c>
      <c r="E574" s="12">
        <f>Table1[[#This Row],[QUANTITY]]-Table1[[#This Row],[CONSUMPTION]]</f>
        <v>1</v>
      </c>
      <c r="F574" s="12">
        <v>1</v>
      </c>
      <c r="G574" s="12" t="s">
        <v>40</v>
      </c>
      <c r="H574" s="10"/>
      <c r="I574" s="32">
        <f t="shared" si="8"/>
        <v>0</v>
      </c>
      <c r="J574" s="10" t="s">
        <v>49</v>
      </c>
      <c r="K574" s="12" t="s">
        <v>41</v>
      </c>
      <c r="L574" s="10"/>
      <c r="M574" s="10"/>
    </row>
    <row r="575" spans="1:13" ht="15" customHeight="1" x14ac:dyDescent="0.25">
      <c r="A575" s="9">
        <v>562</v>
      </c>
      <c r="B575" s="34">
        <v>570909120178</v>
      </c>
      <c r="C575" s="11"/>
      <c r="D575" s="14" t="s">
        <v>614</v>
      </c>
      <c r="E575" s="12">
        <f>Table1[[#This Row],[QUANTITY]]-Table1[[#This Row],[CONSUMPTION]]</f>
        <v>1</v>
      </c>
      <c r="F575" s="12">
        <v>1</v>
      </c>
      <c r="G575" s="12" t="s">
        <v>40</v>
      </c>
      <c r="H575" s="10"/>
      <c r="I575" s="32">
        <f t="shared" si="8"/>
        <v>0</v>
      </c>
      <c r="J575" s="10" t="s">
        <v>49</v>
      </c>
      <c r="K575" s="12" t="s">
        <v>41</v>
      </c>
      <c r="L575" s="10"/>
      <c r="M575" s="10"/>
    </row>
    <row r="576" spans="1:13" ht="15" customHeight="1" x14ac:dyDescent="0.25">
      <c r="A576" s="9">
        <v>563</v>
      </c>
      <c r="B576" s="45">
        <v>201017111200</v>
      </c>
      <c r="C576" s="10">
        <v>3363089850</v>
      </c>
      <c r="D576" s="14" t="s">
        <v>740</v>
      </c>
      <c r="E576" s="12">
        <f>Table1[[#This Row],[QUANTITY]]-Table1[[#This Row],[CONSUMPTION]]</f>
        <v>2</v>
      </c>
      <c r="F576" s="12">
        <v>2</v>
      </c>
      <c r="G576" s="12" t="s">
        <v>365</v>
      </c>
      <c r="H576" s="29">
        <v>17164.8</v>
      </c>
      <c r="I576" s="32">
        <f t="shared" si="8"/>
        <v>34329.599999999999</v>
      </c>
      <c r="J576" s="10" t="s">
        <v>4</v>
      </c>
      <c r="K576" s="12" t="s">
        <v>145</v>
      </c>
      <c r="L576" s="10"/>
      <c r="M576" s="10"/>
    </row>
    <row r="577" spans="1:13" ht="15" customHeight="1" x14ac:dyDescent="0.25">
      <c r="A577" s="9">
        <v>564</v>
      </c>
      <c r="B577" s="34" t="s">
        <v>741</v>
      </c>
      <c r="C577" s="11">
        <v>3361329022</v>
      </c>
      <c r="D577" s="14" t="s">
        <v>742</v>
      </c>
      <c r="E577" s="12">
        <f>Table1[[#This Row],[QUANTITY]]-Table1[[#This Row],[CONSUMPTION]]</f>
        <v>2</v>
      </c>
      <c r="F577" s="12">
        <v>2</v>
      </c>
      <c r="G577" s="12" t="s">
        <v>40</v>
      </c>
      <c r="H577" s="29"/>
      <c r="I577" s="32">
        <f t="shared" si="8"/>
        <v>0</v>
      </c>
      <c r="J577" s="10" t="s">
        <v>4</v>
      </c>
      <c r="K577" s="12" t="s">
        <v>145</v>
      </c>
      <c r="L577" s="10"/>
      <c r="M577" s="10"/>
    </row>
    <row r="578" spans="1:13" ht="15" customHeight="1" x14ac:dyDescent="0.25">
      <c r="A578" s="9">
        <v>565</v>
      </c>
      <c r="B578" s="34" t="s">
        <v>741</v>
      </c>
      <c r="C578" s="11">
        <v>3360314364</v>
      </c>
      <c r="D578" s="14" t="s">
        <v>743</v>
      </c>
      <c r="E578" s="12">
        <f>Table1[[#This Row],[QUANTITY]]-Table1[[#This Row],[CONSUMPTION]]</f>
        <v>2</v>
      </c>
      <c r="F578" s="12">
        <v>2</v>
      </c>
      <c r="G578" s="12" t="s">
        <v>40</v>
      </c>
      <c r="H578" s="10"/>
      <c r="I578" s="32">
        <f t="shared" si="8"/>
        <v>0</v>
      </c>
      <c r="J578" s="10" t="s">
        <v>4</v>
      </c>
      <c r="K578" s="12" t="s">
        <v>145</v>
      </c>
      <c r="L578" s="10"/>
      <c r="M578" s="10"/>
    </row>
    <row r="579" spans="1:13" ht="15" customHeight="1" x14ac:dyDescent="0.25">
      <c r="A579" s="9">
        <v>566</v>
      </c>
      <c r="B579" s="34" t="s">
        <v>741</v>
      </c>
      <c r="C579" s="11">
        <v>3362328046</v>
      </c>
      <c r="D579" s="14" t="s">
        <v>743</v>
      </c>
      <c r="E579" s="12">
        <f>Table1[[#This Row],[QUANTITY]]-Table1[[#This Row],[CONSUMPTION]]</f>
        <v>2</v>
      </c>
      <c r="F579" s="12">
        <v>2</v>
      </c>
      <c r="G579" s="12" t="s">
        <v>40</v>
      </c>
      <c r="H579" s="10"/>
      <c r="I579" s="32">
        <f t="shared" si="8"/>
        <v>0</v>
      </c>
      <c r="J579" s="10" t="s">
        <v>4</v>
      </c>
      <c r="K579" s="12" t="s">
        <v>145</v>
      </c>
      <c r="L579" s="10"/>
      <c r="M579" s="10"/>
    </row>
    <row r="580" spans="1:13" ht="15" customHeight="1" x14ac:dyDescent="0.25">
      <c r="A580" s="9">
        <v>567</v>
      </c>
      <c r="B580" s="34" t="s">
        <v>741</v>
      </c>
      <c r="C580" s="11">
        <v>3360332259</v>
      </c>
      <c r="D580" s="14" t="s">
        <v>744</v>
      </c>
      <c r="E580" s="12">
        <f>Table1[[#This Row],[QUANTITY]]-Table1[[#This Row],[CONSUMPTION]]</f>
        <v>2</v>
      </c>
      <c r="F580" s="12">
        <v>2</v>
      </c>
      <c r="G580" s="12" t="s">
        <v>40</v>
      </c>
      <c r="H580" s="10"/>
      <c r="I580" s="32">
        <f t="shared" si="8"/>
        <v>0</v>
      </c>
      <c r="J580" s="10" t="s">
        <v>4</v>
      </c>
      <c r="K580" s="12" t="s">
        <v>145</v>
      </c>
      <c r="L580" s="10"/>
      <c r="M580" s="10"/>
    </row>
    <row r="581" spans="1:13" ht="15" customHeight="1" x14ac:dyDescent="0.25">
      <c r="A581" s="9">
        <v>568</v>
      </c>
      <c r="B581" s="34" t="s">
        <v>741</v>
      </c>
      <c r="C581" s="11">
        <v>3361335025</v>
      </c>
      <c r="D581" s="14" t="s">
        <v>745</v>
      </c>
      <c r="E581" s="12">
        <f>Table1[[#This Row],[QUANTITY]]-Table1[[#This Row],[CONSUMPTION]]</f>
        <v>2</v>
      </c>
      <c r="F581" s="12">
        <v>2</v>
      </c>
      <c r="G581" s="12" t="s">
        <v>40</v>
      </c>
      <c r="H581" s="10"/>
      <c r="I581" s="32">
        <f t="shared" si="8"/>
        <v>0</v>
      </c>
      <c r="J581" s="10" t="s">
        <v>4</v>
      </c>
      <c r="K581" s="12" t="s">
        <v>145</v>
      </c>
      <c r="L581" s="10"/>
      <c r="M581" s="10"/>
    </row>
    <row r="582" spans="1:13" ht="15" customHeight="1" x14ac:dyDescent="0.25">
      <c r="A582" s="9">
        <v>569</v>
      </c>
      <c r="B582" s="34" t="s">
        <v>741</v>
      </c>
      <c r="C582" s="11">
        <v>3360314460</v>
      </c>
      <c r="D582" s="14" t="s">
        <v>743</v>
      </c>
      <c r="E582" s="12">
        <f>Table1[[#This Row],[QUANTITY]]-Table1[[#This Row],[CONSUMPTION]]</f>
        <v>2</v>
      </c>
      <c r="F582" s="12">
        <v>2</v>
      </c>
      <c r="G582" s="12" t="s">
        <v>40</v>
      </c>
      <c r="H582" s="10"/>
      <c r="I582" s="32">
        <f t="shared" si="8"/>
        <v>0</v>
      </c>
      <c r="J582" s="10" t="s">
        <v>4</v>
      </c>
      <c r="K582" s="12" t="s">
        <v>145</v>
      </c>
      <c r="L582" s="10"/>
      <c r="M582" s="10"/>
    </row>
    <row r="583" spans="1:13" ht="15" customHeight="1" x14ac:dyDescent="0.25">
      <c r="A583" s="9">
        <v>570</v>
      </c>
      <c r="B583" s="34" t="s">
        <v>746</v>
      </c>
      <c r="C583" s="11"/>
      <c r="D583" s="14" t="s">
        <v>747</v>
      </c>
      <c r="E583" s="12">
        <f>Table1[[#This Row],[QUANTITY]]-Table1[[#This Row],[CONSUMPTION]]</f>
        <v>1</v>
      </c>
      <c r="F583" s="12">
        <v>1</v>
      </c>
      <c r="G583" s="12" t="s">
        <v>40</v>
      </c>
      <c r="H583" s="10"/>
      <c r="I583" s="32">
        <f>H583*E583</f>
        <v>0</v>
      </c>
      <c r="J583" s="10" t="s">
        <v>5</v>
      </c>
      <c r="K583" s="12" t="s">
        <v>222</v>
      </c>
      <c r="L583" s="10"/>
      <c r="M583" s="10"/>
    </row>
    <row r="584" spans="1:13" ht="15" customHeight="1" x14ac:dyDescent="0.25">
      <c r="A584" s="9">
        <v>571</v>
      </c>
      <c r="B584" s="34" t="s">
        <v>748</v>
      </c>
      <c r="C584" s="11"/>
      <c r="D584" s="14" t="s">
        <v>261</v>
      </c>
      <c r="E584" s="12">
        <f>Table1[[#This Row],[QUANTITY]]-Table1[[#This Row],[CONSUMPTION]]</f>
        <v>1</v>
      </c>
      <c r="F584" s="12">
        <v>1</v>
      </c>
      <c r="G584" s="12" t="s">
        <v>40</v>
      </c>
      <c r="H584" s="10"/>
      <c r="I584" s="32">
        <f>H584*E584</f>
        <v>0</v>
      </c>
      <c r="J584" s="10" t="s">
        <v>715</v>
      </c>
      <c r="K584" s="12" t="s">
        <v>285</v>
      </c>
      <c r="L584" s="10"/>
      <c r="M584" s="10"/>
    </row>
    <row r="585" spans="1:13" ht="15" customHeight="1" x14ac:dyDescent="0.25">
      <c r="A585" s="9">
        <v>572</v>
      </c>
      <c r="B585" s="34" t="s">
        <v>749</v>
      </c>
      <c r="C585" s="11"/>
      <c r="D585" s="14" t="s">
        <v>192</v>
      </c>
      <c r="E585" s="12">
        <f>Table1[[#This Row],[QUANTITY]]-Table1[[#This Row],[CONSUMPTION]]</f>
        <v>1</v>
      </c>
      <c r="F585" s="12">
        <v>1</v>
      </c>
      <c r="G585" s="12" t="s">
        <v>40</v>
      </c>
      <c r="H585" s="10"/>
      <c r="I585" s="32">
        <f>H585*E585</f>
        <v>0</v>
      </c>
      <c r="J585" s="10" t="s">
        <v>715</v>
      </c>
      <c r="K585" s="12" t="s">
        <v>285</v>
      </c>
      <c r="L585" s="10"/>
      <c r="M585" s="10"/>
    </row>
    <row r="586" spans="1:13" ht="15" customHeight="1" x14ac:dyDescent="0.25">
      <c r="A586" s="9">
        <v>573</v>
      </c>
      <c r="B586" s="34">
        <v>955910000800</v>
      </c>
      <c r="C586" s="11"/>
      <c r="D586" s="14" t="s">
        <v>750</v>
      </c>
      <c r="E586" s="12">
        <f>Table1[[#This Row],[QUANTITY]]-Table1[[#This Row],[CONSUMPTION]]</f>
        <v>1</v>
      </c>
      <c r="F586" s="12">
        <v>1</v>
      </c>
      <c r="G586" s="12" t="s">
        <v>40</v>
      </c>
      <c r="H586" s="10"/>
      <c r="I586" s="32">
        <f>H586*E586</f>
        <v>0</v>
      </c>
      <c r="J586" s="10" t="s">
        <v>715</v>
      </c>
      <c r="K586" s="12" t="s">
        <v>285</v>
      </c>
      <c r="L586" s="10"/>
      <c r="M586" s="10"/>
    </row>
    <row r="587" spans="1:13" ht="15" customHeight="1" x14ac:dyDescent="0.25">
      <c r="A587" s="9">
        <v>574</v>
      </c>
      <c r="B587" s="34">
        <v>401417641665</v>
      </c>
      <c r="C587" s="11"/>
      <c r="D587" s="14" t="s">
        <v>141</v>
      </c>
      <c r="E587" s="12">
        <f>Table1[[#This Row],[QUANTITY]]-Table1[[#This Row],[CONSUMPTION]]</f>
        <v>0</v>
      </c>
      <c r="F587" s="12">
        <v>1</v>
      </c>
      <c r="G587" s="12" t="s">
        <v>40</v>
      </c>
      <c r="H587" s="10"/>
      <c r="I587" s="32">
        <f>H587*E587</f>
        <v>0</v>
      </c>
      <c r="J587" s="10" t="s">
        <v>6</v>
      </c>
      <c r="K587" s="12" t="s">
        <v>751</v>
      </c>
      <c r="L587" s="10">
        <v>1</v>
      </c>
      <c r="M587" s="10" t="s">
        <v>752</v>
      </c>
    </row>
    <row r="588" spans="1:13" ht="15" customHeight="1" x14ac:dyDescent="0.25">
      <c r="A588" s="9">
        <v>575</v>
      </c>
      <c r="B588" s="34">
        <v>401417641701</v>
      </c>
      <c r="C588" s="11"/>
      <c r="D588" s="14" t="s">
        <v>141</v>
      </c>
      <c r="E588" s="12">
        <f>Table1[[#This Row],[QUANTITY]]-Table1[[#This Row],[CONSUMPTION]]</f>
        <v>1</v>
      </c>
      <c r="F588" s="12">
        <v>1</v>
      </c>
      <c r="G588" s="12" t="s">
        <v>40</v>
      </c>
      <c r="H588" s="10"/>
      <c r="I588" s="32">
        <f t="shared" ref="I588:I622" si="9">H588*E588</f>
        <v>0</v>
      </c>
      <c r="J588" s="10" t="s">
        <v>6</v>
      </c>
      <c r="K588" s="12" t="s">
        <v>751</v>
      </c>
      <c r="L588" s="10"/>
      <c r="M588" s="10"/>
    </row>
    <row r="589" spans="1:13" ht="15" customHeight="1" x14ac:dyDescent="0.25">
      <c r="A589" s="9">
        <v>576</v>
      </c>
      <c r="B589" s="34">
        <v>401417641663</v>
      </c>
      <c r="C589" s="2"/>
      <c r="D589" s="14" t="s">
        <v>141</v>
      </c>
      <c r="E589" s="12">
        <f>Table1[[#This Row],[QUANTITY]]-Table1[[#This Row],[CONSUMPTION]]</f>
        <v>1</v>
      </c>
      <c r="F589" s="12">
        <v>1</v>
      </c>
      <c r="G589" s="12" t="s">
        <v>40</v>
      </c>
      <c r="H589" s="10"/>
      <c r="I589" s="32">
        <f t="shared" si="9"/>
        <v>0</v>
      </c>
      <c r="J589" s="10" t="s">
        <v>6</v>
      </c>
      <c r="K589" s="12" t="s">
        <v>751</v>
      </c>
      <c r="L589" s="4"/>
      <c r="M589" s="4"/>
    </row>
    <row r="590" spans="1:13" ht="15" customHeight="1" x14ac:dyDescent="0.25">
      <c r="A590" s="9">
        <v>577</v>
      </c>
      <c r="B590" s="34">
        <v>401417641676</v>
      </c>
      <c r="C590" s="2"/>
      <c r="D590" s="14" t="s">
        <v>141</v>
      </c>
      <c r="E590" s="12">
        <f>Table1[[#This Row],[QUANTITY]]-Table1[[#This Row],[CONSUMPTION]]</f>
        <v>1</v>
      </c>
      <c r="F590" s="12">
        <v>1</v>
      </c>
      <c r="G590" s="12" t="s">
        <v>40</v>
      </c>
      <c r="H590" s="10"/>
      <c r="I590" s="32">
        <f t="shared" si="9"/>
        <v>0</v>
      </c>
      <c r="J590" s="10" t="s">
        <v>6</v>
      </c>
      <c r="K590" s="12" t="s">
        <v>751</v>
      </c>
      <c r="L590" s="4"/>
      <c r="M590" s="4"/>
    </row>
    <row r="591" spans="1:13" ht="15" customHeight="1" x14ac:dyDescent="0.25">
      <c r="A591" s="9">
        <v>578</v>
      </c>
      <c r="B591" s="34">
        <v>401417641675</v>
      </c>
      <c r="C591" s="2"/>
      <c r="D591" s="14" t="s">
        <v>141</v>
      </c>
      <c r="E591" s="12">
        <f>Table1[[#This Row],[QUANTITY]]-Table1[[#This Row],[CONSUMPTION]]</f>
        <v>1</v>
      </c>
      <c r="F591" s="12">
        <v>1</v>
      </c>
      <c r="G591" s="12" t="s">
        <v>40</v>
      </c>
      <c r="H591" s="10"/>
      <c r="I591" s="32">
        <f t="shared" si="9"/>
        <v>0</v>
      </c>
      <c r="J591" s="10" t="s">
        <v>6</v>
      </c>
      <c r="K591" s="12" t="s">
        <v>751</v>
      </c>
      <c r="L591" s="4"/>
      <c r="M591" s="4"/>
    </row>
    <row r="592" spans="1:13" ht="15" customHeight="1" x14ac:dyDescent="0.25">
      <c r="A592" s="9">
        <v>579</v>
      </c>
      <c r="B592" s="34">
        <v>401417641666</v>
      </c>
      <c r="C592" s="2"/>
      <c r="D592" s="14" t="s">
        <v>141</v>
      </c>
      <c r="E592" s="12">
        <f>Table1[[#This Row],[QUANTITY]]-Table1[[#This Row],[CONSUMPTION]]</f>
        <v>1</v>
      </c>
      <c r="F592" s="12">
        <v>1</v>
      </c>
      <c r="G592" s="12" t="s">
        <v>40</v>
      </c>
      <c r="H592" s="10"/>
      <c r="I592" s="32">
        <f t="shared" si="9"/>
        <v>0</v>
      </c>
      <c r="J592" s="10" t="s">
        <v>6</v>
      </c>
      <c r="K592" s="12" t="s">
        <v>751</v>
      </c>
      <c r="L592" s="4"/>
      <c r="M592" s="4"/>
    </row>
    <row r="593" spans="1:13" ht="15" customHeight="1" x14ac:dyDescent="0.25">
      <c r="A593" s="9">
        <v>580</v>
      </c>
      <c r="B593" s="34">
        <v>401417651667</v>
      </c>
      <c r="C593" s="2"/>
      <c r="D593" s="14" t="s">
        <v>141</v>
      </c>
      <c r="E593" s="12">
        <f>Table1[[#This Row],[QUANTITY]]-Table1[[#This Row],[CONSUMPTION]]</f>
        <v>1</v>
      </c>
      <c r="F593" s="12">
        <v>1</v>
      </c>
      <c r="G593" s="12" t="s">
        <v>40</v>
      </c>
      <c r="H593" s="10"/>
      <c r="I593" s="32">
        <f t="shared" si="9"/>
        <v>0</v>
      </c>
      <c r="J593" s="10" t="s">
        <v>6</v>
      </c>
      <c r="K593" s="12" t="s">
        <v>751</v>
      </c>
      <c r="L593" s="4"/>
      <c r="M593" s="4"/>
    </row>
    <row r="594" spans="1:13" ht="15" customHeight="1" x14ac:dyDescent="0.25">
      <c r="A594" s="9">
        <v>581</v>
      </c>
      <c r="B594" s="34">
        <v>401417641668</v>
      </c>
      <c r="C594" s="2"/>
      <c r="D594" s="14" t="s">
        <v>141</v>
      </c>
      <c r="E594" s="12">
        <f>Table1[[#This Row],[QUANTITY]]-Table1[[#This Row],[CONSUMPTION]]</f>
        <v>1</v>
      </c>
      <c r="F594" s="12">
        <v>1</v>
      </c>
      <c r="G594" s="12" t="s">
        <v>40</v>
      </c>
      <c r="H594" s="10"/>
      <c r="I594" s="32">
        <f t="shared" si="9"/>
        <v>0</v>
      </c>
      <c r="J594" s="10" t="s">
        <v>6</v>
      </c>
      <c r="K594" s="12" t="s">
        <v>751</v>
      </c>
      <c r="L594" s="4"/>
      <c r="M594" s="4"/>
    </row>
    <row r="595" spans="1:13" ht="15" customHeight="1" x14ac:dyDescent="0.25">
      <c r="A595" s="9">
        <v>582</v>
      </c>
      <c r="B595" s="34">
        <v>401417641662</v>
      </c>
      <c r="C595" s="2"/>
      <c r="D595" s="14" t="s">
        <v>141</v>
      </c>
      <c r="E595" s="12">
        <f>Table1[[#This Row],[QUANTITY]]-Table1[[#This Row],[CONSUMPTION]]</f>
        <v>1</v>
      </c>
      <c r="F595" s="12">
        <v>1</v>
      </c>
      <c r="G595" s="12" t="s">
        <v>40</v>
      </c>
      <c r="H595" s="10"/>
      <c r="I595" s="32">
        <f t="shared" si="9"/>
        <v>0</v>
      </c>
      <c r="J595" s="10" t="s">
        <v>6</v>
      </c>
      <c r="K595" s="12" t="s">
        <v>751</v>
      </c>
      <c r="L595" s="4"/>
      <c r="M595" s="4"/>
    </row>
    <row r="596" spans="1:13" ht="15" customHeight="1" x14ac:dyDescent="0.25">
      <c r="A596" s="9">
        <v>583</v>
      </c>
      <c r="B596" s="34">
        <v>401417641670</v>
      </c>
      <c r="C596" s="2"/>
      <c r="D596" s="14" t="s">
        <v>141</v>
      </c>
      <c r="E596" s="12">
        <f>Table1[[#This Row],[QUANTITY]]-Table1[[#This Row],[CONSUMPTION]]</f>
        <v>1</v>
      </c>
      <c r="F596" s="12">
        <v>1</v>
      </c>
      <c r="G596" s="12" t="s">
        <v>40</v>
      </c>
      <c r="H596" s="10"/>
      <c r="I596" s="32">
        <f t="shared" si="9"/>
        <v>0</v>
      </c>
      <c r="J596" s="10" t="s">
        <v>6</v>
      </c>
      <c r="K596" s="12" t="s">
        <v>751</v>
      </c>
      <c r="L596" s="4"/>
      <c r="M596" s="4"/>
    </row>
    <row r="597" spans="1:13" ht="15" customHeight="1" x14ac:dyDescent="0.25">
      <c r="A597" s="9">
        <v>584</v>
      </c>
      <c r="B597" s="34">
        <v>401417641680</v>
      </c>
      <c r="C597" s="2"/>
      <c r="D597" s="14" t="s">
        <v>141</v>
      </c>
      <c r="E597" s="12">
        <f>Table1[[#This Row],[QUANTITY]]-Table1[[#This Row],[CONSUMPTION]]</f>
        <v>1</v>
      </c>
      <c r="F597" s="12">
        <v>1</v>
      </c>
      <c r="G597" s="12" t="s">
        <v>40</v>
      </c>
      <c r="H597" s="10"/>
      <c r="I597" s="32">
        <f t="shared" si="9"/>
        <v>0</v>
      </c>
      <c r="J597" s="10" t="s">
        <v>6</v>
      </c>
      <c r="K597" s="12" t="s">
        <v>751</v>
      </c>
      <c r="L597" s="4"/>
      <c r="M597" s="4"/>
    </row>
    <row r="598" spans="1:13" ht="15" customHeight="1" x14ac:dyDescent="0.25">
      <c r="A598" s="9">
        <v>585</v>
      </c>
      <c r="B598" s="34">
        <v>401417641661</v>
      </c>
      <c r="C598" s="2"/>
      <c r="D598" s="14" t="s">
        <v>141</v>
      </c>
      <c r="E598" s="12">
        <f>Table1[[#This Row],[QUANTITY]]-Table1[[#This Row],[CONSUMPTION]]</f>
        <v>1</v>
      </c>
      <c r="F598" s="12">
        <v>1</v>
      </c>
      <c r="G598" s="12" t="s">
        <v>40</v>
      </c>
      <c r="H598" s="10"/>
      <c r="I598" s="32">
        <f t="shared" si="9"/>
        <v>0</v>
      </c>
      <c r="J598" s="10" t="s">
        <v>6</v>
      </c>
      <c r="K598" s="12" t="s">
        <v>751</v>
      </c>
      <c r="L598" s="4"/>
      <c r="M598" s="4"/>
    </row>
    <row r="599" spans="1:13" ht="15" customHeight="1" x14ac:dyDescent="0.25">
      <c r="A599" s="9">
        <v>586</v>
      </c>
      <c r="B599" s="34">
        <v>401417641685</v>
      </c>
      <c r="C599" s="2"/>
      <c r="D599" s="14" t="s">
        <v>141</v>
      </c>
      <c r="E599" s="12">
        <f>Table1[[#This Row],[QUANTITY]]-Table1[[#This Row],[CONSUMPTION]]</f>
        <v>1</v>
      </c>
      <c r="F599" s="12">
        <v>1</v>
      </c>
      <c r="G599" s="12" t="s">
        <v>40</v>
      </c>
      <c r="H599" s="10"/>
      <c r="I599" s="32">
        <f t="shared" si="9"/>
        <v>0</v>
      </c>
      <c r="J599" s="10" t="s">
        <v>6</v>
      </c>
      <c r="K599" s="12" t="s">
        <v>751</v>
      </c>
      <c r="L599" s="4"/>
      <c r="M599" s="4"/>
    </row>
    <row r="600" spans="1:13" ht="15" customHeight="1" x14ac:dyDescent="0.25">
      <c r="A600" s="9">
        <v>587</v>
      </c>
      <c r="B600" s="34">
        <v>401417641687</v>
      </c>
      <c r="C600" s="2"/>
      <c r="D600" s="14" t="s">
        <v>141</v>
      </c>
      <c r="E600" s="12">
        <f>Table1[[#This Row],[QUANTITY]]-Table1[[#This Row],[CONSUMPTION]]</f>
        <v>1</v>
      </c>
      <c r="F600" s="12">
        <v>1</v>
      </c>
      <c r="G600" s="12" t="s">
        <v>40</v>
      </c>
      <c r="H600" s="10"/>
      <c r="I600" s="32">
        <f t="shared" si="9"/>
        <v>0</v>
      </c>
      <c r="J600" s="10" t="s">
        <v>6</v>
      </c>
      <c r="K600" s="12" t="s">
        <v>751</v>
      </c>
      <c r="L600" s="4"/>
      <c r="M600" s="4"/>
    </row>
    <row r="601" spans="1:13" ht="15" customHeight="1" x14ac:dyDescent="0.25">
      <c r="A601" s="9">
        <v>588</v>
      </c>
      <c r="B601" s="34">
        <v>401417641672</v>
      </c>
      <c r="C601" s="2"/>
      <c r="D601" s="14" t="s">
        <v>141</v>
      </c>
      <c r="E601" s="12">
        <f>Table1[[#This Row],[QUANTITY]]-Table1[[#This Row],[CONSUMPTION]]</f>
        <v>1</v>
      </c>
      <c r="F601" s="12">
        <v>1</v>
      </c>
      <c r="G601" s="12" t="s">
        <v>40</v>
      </c>
      <c r="H601" s="10"/>
      <c r="I601" s="32">
        <f t="shared" si="9"/>
        <v>0</v>
      </c>
      <c r="J601" s="10" t="s">
        <v>6</v>
      </c>
      <c r="K601" s="12" t="s">
        <v>751</v>
      </c>
      <c r="L601" s="4"/>
      <c r="M601" s="4"/>
    </row>
    <row r="602" spans="1:13" ht="15" customHeight="1" x14ac:dyDescent="0.25">
      <c r="A602" s="9">
        <v>589</v>
      </c>
      <c r="B602" s="34">
        <v>401417641674</v>
      </c>
      <c r="C602" s="2"/>
      <c r="D602" s="14" t="s">
        <v>141</v>
      </c>
      <c r="E602" s="12">
        <f>Table1[[#This Row],[QUANTITY]]-Table1[[#This Row],[CONSUMPTION]]</f>
        <v>1</v>
      </c>
      <c r="F602" s="12">
        <v>1</v>
      </c>
      <c r="G602" s="12" t="s">
        <v>40</v>
      </c>
      <c r="H602" s="10"/>
      <c r="I602" s="32">
        <f t="shared" si="9"/>
        <v>0</v>
      </c>
      <c r="J602" s="10" t="s">
        <v>6</v>
      </c>
      <c r="K602" s="12" t="s">
        <v>751</v>
      </c>
      <c r="L602" s="4"/>
      <c r="M602" s="4"/>
    </row>
    <row r="603" spans="1:13" ht="15" customHeight="1" x14ac:dyDescent="0.25">
      <c r="A603" s="9">
        <v>590</v>
      </c>
      <c r="B603" s="34">
        <v>401417641694</v>
      </c>
      <c r="C603" s="2"/>
      <c r="D603" s="14" t="s">
        <v>141</v>
      </c>
      <c r="E603" s="12">
        <f>Table1[[#This Row],[QUANTITY]]-Table1[[#This Row],[CONSUMPTION]]</f>
        <v>1</v>
      </c>
      <c r="F603" s="12">
        <v>1</v>
      </c>
      <c r="G603" s="12" t="s">
        <v>40</v>
      </c>
      <c r="H603" s="10"/>
      <c r="I603" s="32">
        <f t="shared" si="9"/>
        <v>0</v>
      </c>
      <c r="J603" s="10" t="s">
        <v>6</v>
      </c>
      <c r="K603" s="12" t="s">
        <v>751</v>
      </c>
      <c r="L603" s="4"/>
      <c r="M603" s="4"/>
    </row>
    <row r="604" spans="1:13" ht="15" customHeight="1" x14ac:dyDescent="0.25">
      <c r="A604" s="9">
        <v>591</v>
      </c>
      <c r="B604" s="34">
        <v>401417641664</v>
      </c>
      <c r="C604" s="2"/>
      <c r="D604" s="14" t="s">
        <v>141</v>
      </c>
      <c r="E604" s="12">
        <f>Table1[[#This Row],[QUANTITY]]-Table1[[#This Row],[CONSUMPTION]]</f>
        <v>1</v>
      </c>
      <c r="F604" s="12">
        <v>1</v>
      </c>
      <c r="G604" s="12" t="s">
        <v>40</v>
      </c>
      <c r="H604" s="10"/>
      <c r="I604" s="32">
        <f t="shared" si="9"/>
        <v>0</v>
      </c>
      <c r="J604" s="10" t="s">
        <v>6</v>
      </c>
      <c r="K604" s="12" t="s">
        <v>751</v>
      </c>
      <c r="L604" s="4"/>
      <c r="M604" s="4"/>
    </row>
    <row r="605" spans="1:13" ht="15" customHeight="1" x14ac:dyDescent="0.25">
      <c r="A605" s="9">
        <v>592</v>
      </c>
      <c r="B605" s="34">
        <v>401417641677</v>
      </c>
      <c r="C605" s="2"/>
      <c r="D605" s="14" t="s">
        <v>141</v>
      </c>
      <c r="E605" s="12">
        <f>Table1[[#This Row],[QUANTITY]]-Table1[[#This Row],[CONSUMPTION]]</f>
        <v>1</v>
      </c>
      <c r="F605" s="12">
        <v>1</v>
      </c>
      <c r="G605" s="12" t="s">
        <v>40</v>
      </c>
      <c r="H605" s="10"/>
      <c r="I605" s="32">
        <f t="shared" si="9"/>
        <v>0</v>
      </c>
      <c r="J605" s="10" t="s">
        <v>6</v>
      </c>
      <c r="K605" s="12" t="s">
        <v>751</v>
      </c>
      <c r="L605" s="4"/>
      <c r="M605" s="4"/>
    </row>
    <row r="606" spans="1:13" ht="15" customHeight="1" x14ac:dyDescent="0.25">
      <c r="A606" s="9">
        <v>593</v>
      </c>
      <c r="B606" s="34">
        <v>401417641693</v>
      </c>
      <c r="C606" s="2"/>
      <c r="D606" s="14" t="s">
        <v>141</v>
      </c>
      <c r="E606" s="12">
        <f>Table1[[#This Row],[QUANTITY]]-Table1[[#This Row],[CONSUMPTION]]</f>
        <v>1</v>
      </c>
      <c r="F606" s="12">
        <v>1</v>
      </c>
      <c r="G606" s="12" t="s">
        <v>40</v>
      </c>
      <c r="H606" s="10"/>
      <c r="I606" s="32">
        <f t="shared" si="9"/>
        <v>0</v>
      </c>
      <c r="J606" s="10" t="s">
        <v>6</v>
      </c>
      <c r="K606" s="12" t="s">
        <v>751</v>
      </c>
      <c r="L606" s="4"/>
      <c r="M606" s="4"/>
    </row>
    <row r="607" spans="1:13" ht="15" customHeight="1" x14ac:dyDescent="0.25">
      <c r="A607" s="9">
        <v>594</v>
      </c>
      <c r="B607" s="34">
        <v>401417641673</v>
      </c>
      <c r="C607" s="2"/>
      <c r="D607" s="14" t="s">
        <v>141</v>
      </c>
      <c r="E607" s="12">
        <f>Table1[[#This Row],[QUANTITY]]-Table1[[#This Row],[CONSUMPTION]]</f>
        <v>1</v>
      </c>
      <c r="F607" s="12">
        <v>1</v>
      </c>
      <c r="G607" s="12" t="s">
        <v>40</v>
      </c>
      <c r="H607" s="10"/>
      <c r="I607" s="32">
        <f t="shared" si="9"/>
        <v>0</v>
      </c>
      <c r="J607" s="10" t="s">
        <v>6</v>
      </c>
      <c r="K607" s="12" t="s">
        <v>751</v>
      </c>
      <c r="L607" s="4"/>
      <c r="M607" s="4"/>
    </row>
    <row r="608" spans="1:13" ht="15" customHeight="1" x14ac:dyDescent="0.25">
      <c r="A608" s="9">
        <v>595</v>
      </c>
      <c r="B608" s="34">
        <v>401417641689</v>
      </c>
      <c r="C608" s="2"/>
      <c r="D608" s="14" t="s">
        <v>141</v>
      </c>
      <c r="E608" s="12">
        <f>Table1[[#This Row],[QUANTITY]]-Table1[[#This Row],[CONSUMPTION]]</f>
        <v>1</v>
      </c>
      <c r="F608" s="12">
        <v>1</v>
      </c>
      <c r="G608" s="12" t="s">
        <v>40</v>
      </c>
      <c r="H608" s="10"/>
      <c r="I608" s="32">
        <f t="shared" si="9"/>
        <v>0</v>
      </c>
      <c r="J608" s="10" t="s">
        <v>6</v>
      </c>
      <c r="K608" s="12" t="s">
        <v>751</v>
      </c>
      <c r="L608" s="4"/>
      <c r="M608" s="4"/>
    </row>
    <row r="609" spans="1:13" ht="15" customHeight="1" x14ac:dyDescent="0.25">
      <c r="A609" s="9">
        <v>596</v>
      </c>
      <c r="B609" s="34">
        <v>401417641681</v>
      </c>
      <c r="C609" s="2"/>
      <c r="D609" s="14" t="s">
        <v>141</v>
      </c>
      <c r="E609" s="12">
        <f>Table1[[#This Row],[QUANTITY]]-Table1[[#This Row],[CONSUMPTION]]</f>
        <v>1</v>
      </c>
      <c r="F609" s="12">
        <v>1</v>
      </c>
      <c r="G609" s="12" t="s">
        <v>40</v>
      </c>
      <c r="H609" s="10"/>
      <c r="I609" s="32">
        <f t="shared" si="9"/>
        <v>0</v>
      </c>
      <c r="J609" s="10" t="s">
        <v>6</v>
      </c>
      <c r="K609" s="12" t="s">
        <v>751</v>
      </c>
      <c r="L609" s="4"/>
      <c r="M609" s="4"/>
    </row>
    <row r="610" spans="1:13" ht="15" customHeight="1" x14ac:dyDescent="0.25">
      <c r="A610" s="9">
        <v>597</v>
      </c>
      <c r="B610" s="34">
        <v>401417641684</v>
      </c>
      <c r="C610" s="2"/>
      <c r="D610" s="14" t="s">
        <v>141</v>
      </c>
      <c r="E610" s="12">
        <f>Table1[[#This Row],[QUANTITY]]-Table1[[#This Row],[CONSUMPTION]]</f>
        <v>1</v>
      </c>
      <c r="F610" s="12">
        <v>1</v>
      </c>
      <c r="G610" s="12" t="s">
        <v>40</v>
      </c>
      <c r="H610" s="10"/>
      <c r="I610" s="32">
        <f t="shared" si="9"/>
        <v>0</v>
      </c>
      <c r="J610" s="10" t="s">
        <v>6</v>
      </c>
      <c r="K610" s="12" t="s">
        <v>751</v>
      </c>
      <c r="L610" s="4"/>
      <c r="M610" s="4"/>
    </row>
    <row r="611" spans="1:13" ht="15" customHeight="1" x14ac:dyDescent="0.25">
      <c r="A611" s="9">
        <v>598</v>
      </c>
      <c r="B611" s="34">
        <v>401417641682</v>
      </c>
      <c r="C611" s="2"/>
      <c r="D611" s="14" t="s">
        <v>141</v>
      </c>
      <c r="E611" s="12">
        <f>Table1[[#This Row],[QUANTITY]]-Table1[[#This Row],[CONSUMPTION]]</f>
        <v>1</v>
      </c>
      <c r="F611" s="12">
        <v>1</v>
      </c>
      <c r="G611" s="12" t="s">
        <v>40</v>
      </c>
      <c r="H611" s="10"/>
      <c r="I611" s="32">
        <f t="shared" si="9"/>
        <v>0</v>
      </c>
      <c r="J611" s="10" t="s">
        <v>6</v>
      </c>
      <c r="K611" s="12" t="s">
        <v>751</v>
      </c>
      <c r="L611" s="4"/>
      <c r="M611" s="4"/>
    </row>
    <row r="612" spans="1:13" ht="15" customHeight="1" x14ac:dyDescent="0.25">
      <c r="A612" s="9">
        <v>599</v>
      </c>
      <c r="B612" s="34">
        <v>401417641691</v>
      </c>
      <c r="C612" s="2"/>
      <c r="D612" s="14" t="s">
        <v>141</v>
      </c>
      <c r="E612" s="12">
        <f>Table1[[#This Row],[QUANTITY]]-Table1[[#This Row],[CONSUMPTION]]</f>
        <v>1</v>
      </c>
      <c r="F612" s="12">
        <v>1</v>
      </c>
      <c r="G612" s="12" t="s">
        <v>40</v>
      </c>
      <c r="H612" s="10"/>
      <c r="I612" s="32">
        <f t="shared" si="9"/>
        <v>0</v>
      </c>
      <c r="J612" s="10" t="s">
        <v>6</v>
      </c>
      <c r="K612" s="12" t="s">
        <v>751</v>
      </c>
      <c r="L612" s="4"/>
      <c r="M612" s="4"/>
    </row>
    <row r="613" spans="1:13" ht="15" customHeight="1" x14ac:dyDescent="0.25">
      <c r="A613" s="9">
        <v>600</v>
      </c>
      <c r="B613" s="34">
        <v>401417641692</v>
      </c>
      <c r="C613" s="2"/>
      <c r="D613" s="14" t="s">
        <v>141</v>
      </c>
      <c r="E613" s="12">
        <f>Table1[[#This Row],[QUANTITY]]-Table1[[#This Row],[CONSUMPTION]]</f>
        <v>1</v>
      </c>
      <c r="F613" s="12">
        <v>1</v>
      </c>
      <c r="G613" s="12" t="s">
        <v>40</v>
      </c>
      <c r="H613" s="10"/>
      <c r="I613" s="32">
        <f t="shared" si="9"/>
        <v>0</v>
      </c>
      <c r="J613" s="10" t="s">
        <v>6</v>
      </c>
      <c r="K613" s="12" t="s">
        <v>751</v>
      </c>
      <c r="L613" s="4"/>
      <c r="M613" s="4"/>
    </row>
    <row r="614" spans="1:13" ht="15" customHeight="1" x14ac:dyDescent="0.25">
      <c r="A614" s="9">
        <v>601</v>
      </c>
      <c r="B614" s="34">
        <v>401417641683</v>
      </c>
      <c r="C614" s="2"/>
      <c r="D614" s="14" t="s">
        <v>141</v>
      </c>
      <c r="E614" s="12">
        <f>Table1[[#This Row],[QUANTITY]]-Table1[[#This Row],[CONSUMPTION]]</f>
        <v>1</v>
      </c>
      <c r="F614" s="12">
        <v>1</v>
      </c>
      <c r="G614" s="12" t="s">
        <v>40</v>
      </c>
      <c r="H614" s="10"/>
      <c r="I614" s="32">
        <f t="shared" si="9"/>
        <v>0</v>
      </c>
      <c r="J614" s="10" t="s">
        <v>6</v>
      </c>
      <c r="K614" s="12" t="s">
        <v>751</v>
      </c>
      <c r="L614" s="4"/>
      <c r="M614" s="4"/>
    </row>
    <row r="615" spans="1:13" ht="15" customHeight="1" x14ac:dyDescent="0.25">
      <c r="A615" s="9">
        <v>602</v>
      </c>
      <c r="B615" s="34">
        <v>401417641688</v>
      </c>
      <c r="C615" s="2"/>
      <c r="D615" s="14" t="s">
        <v>141</v>
      </c>
      <c r="E615" s="12">
        <f>Table1[[#This Row],[QUANTITY]]-Table1[[#This Row],[CONSUMPTION]]</f>
        <v>1</v>
      </c>
      <c r="F615" s="12">
        <v>1</v>
      </c>
      <c r="G615" s="12" t="s">
        <v>40</v>
      </c>
      <c r="H615" s="10"/>
      <c r="I615" s="32">
        <f t="shared" si="9"/>
        <v>0</v>
      </c>
      <c r="J615" s="10" t="s">
        <v>6</v>
      </c>
      <c r="K615" s="12" t="s">
        <v>751</v>
      </c>
      <c r="L615" s="4"/>
      <c r="M615" s="4"/>
    </row>
    <row r="616" spans="1:13" ht="15" customHeight="1" x14ac:dyDescent="0.25">
      <c r="A616" s="9">
        <v>603</v>
      </c>
      <c r="B616" s="34">
        <v>401417641690</v>
      </c>
      <c r="C616" s="2"/>
      <c r="D616" s="14" t="s">
        <v>141</v>
      </c>
      <c r="E616" s="12">
        <f>Table1[[#This Row],[QUANTITY]]-Table1[[#This Row],[CONSUMPTION]]</f>
        <v>2</v>
      </c>
      <c r="F616" s="12">
        <v>2</v>
      </c>
      <c r="G616" s="12" t="s">
        <v>40</v>
      </c>
      <c r="H616" s="10"/>
      <c r="I616" s="32">
        <f t="shared" si="9"/>
        <v>0</v>
      </c>
      <c r="J616" s="10" t="s">
        <v>6</v>
      </c>
      <c r="K616" s="12" t="s">
        <v>751</v>
      </c>
      <c r="L616" s="4"/>
      <c r="M616" s="4"/>
    </row>
    <row r="617" spans="1:13" ht="15" customHeight="1" x14ac:dyDescent="0.25">
      <c r="A617" s="9">
        <v>604</v>
      </c>
      <c r="B617" s="34">
        <v>401417641699</v>
      </c>
      <c r="C617" s="2"/>
      <c r="D617" s="14" t="s">
        <v>141</v>
      </c>
      <c r="E617" s="12">
        <f>Table1[[#This Row],[QUANTITY]]-Table1[[#This Row],[CONSUMPTION]]</f>
        <v>1</v>
      </c>
      <c r="F617" s="12">
        <v>1</v>
      </c>
      <c r="G617" s="12" t="s">
        <v>40</v>
      </c>
      <c r="H617" s="10"/>
      <c r="I617" s="32">
        <f t="shared" si="9"/>
        <v>0</v>
      </c>
      <c r="J617" s="10" t="s">
        <v>6</v>
      </c>
      <c r="K617" s="12" t="s">
        <v>751</v>
      </c>
      <c r="L617" s="4"/>
      <c r="M617" s="4"/>
    </row>
    <row r="618" spans="1:13" ht="15" customHeight="1" x14ac:dyDescent="0.25">
      <c r="A618" s="9">
        <v>605</v>
      </c>
      <c r="B618" s="34">
        <v>401417641700</v>
      </c>
      <c r="C618" s="2"/>
      <c r="D618" s="14" t="s">
        <v>141</v>
      </c>
      <c r="E618" s="12">
        <f>Table1[[#This Row],[QUANTITY]]-Table1[[#This Row],[CONSUMPTION]]</f>
        <v>1</v>
      </c>
      <c r="F618" s="12">
        <v>1</v>
      </c>
      <c r="G618" s="12" t="s">
        <v>40</v>
      </c>
      <c r="H618" s="10"/>
      <c r="I618" s="32">
        <f t="shared" si="9"/>
        <v>0</v>
      </c>
      <c r="J618" s="10" t="s">
        <v>6</v>
      </c>
      <c r="K618" s="12" t="s">
        <v>751</v>
      </c>
      <c r="L618" s="4"/>
      <c r="M618" s="4"/>
    </row>
    <row r="619" spans="1:13" ht="15" customHeight="1" x14ac:dyDescent="0.25">
      <c r="A619" s="9">
        <v>606</v>
      </c>
      <c r="B619" s="34">
        <v>401417641698</v>
      </c>
      <c r="C619" s="2"/>
      <c r="D619" s="14" t="s">
        <v>141</v>
      </c>
      <c r="E619" s="12">
        <f>Table1[[#This Row],[QUANTITY]]-Table1[[#This Row],[CONSUMPTION]]</f>
        <v>0</v>
      </c>
      <c r="F619" s="12">
        <v>1</v>
      </c>
      <c r="G619" s="12" t="s">
        <v>40</v>
      </c>
      <c r="H619" s="10"/>
      <c r="I619" s="32">
        <f t="shared" si="9"/>
        <v>0</v>
      </c>
      <c r="J619" s="10" t="s">
        <v>6</v>
      </c>
      <c r="K619" s="12" t="s">
        <v>751</v>
      </c>
      <c r="L619" s="4">
        <v>1</v>
      </c>
      <c r="M619" s="4" t="s">
        <v>753</v>
      </c>
    </row>
    <row r="620" spans="1:13" ht="15" customHeight="1" x14ac:dyDescent="0.25">
      <c r="A620" s="9">
        <v>607</v>
      </c>
      <c r="B620" s="34">
        <v>4014176416</v>
      </c>
      <c r="C620" s="2"/>
      <c r="D620" s="14" t="s">
        <v>141</v>
      </c>
      <c r="E620" s="12">
        <f>Table1[[#This Row],[QUANTITY]]-Table1[[#This Row],[CONSUMPTION]]</f>
        <v>1</v>
      </c>
      <c r="F620" s="12">
        <v>1</v>
      </c>
      <c r="G620" s="12" t="s">
        <v>40</v>
      </c>
      <c r="H620" s="10"/>
      <c r="I620" s="32">
        <f t="shared" si="9"/>
        <v>0</v>
      </c>
      <c r="J620" s="10" t="s">
        <v>6</v>
      </c>
      <c r="K620" s="12" t="s">
        <v>751</v>
      </c>
      <c r="L620" s="4"/>
      <c r="M620" s="4"/>
    </row>
    <row r="621" spans="1:13" ht="15" customHeight="1" x14ac:dyDescent="0.25">
      <c r="A621" s="9">
        <v>608</v>
      </c>
      <c r="B621" s="34">
        <v>4014176416</v>
      </c>
      <c r="C621" s="2"/>
      <c r="D621" s="14" t="s">
        <v>141</v>
      </c>
      <c r="E621" s="12">
        <f>Table1[[#This Row],[QUANTITY]]-Table1[[#This Row],[CONSUMPTION]]</f>
        <v>1</v>
      </c>
      <c r="F621" s="12">
        <v>1</v>
      </c>
      <c r="G621" s="12" t="s">
        <v>40</v>
      </c>
      <c r="H621" s="10"/>
      <c r="I621" s="32">
        <f t="shared" si="9"/>
        <v>0</v>
      </c>
      <c r="J621" s="10" t="s">
        <v>6</v>
      </c>
      <c r="K621" s="12" t="s">
        <v>751</v>
      </c>
      <c r="L621" s="4"/>
      <c r="M621" s="4"/>
    </row>
    <row r="622" spans="1:13" ht="15" customHeight="1" x14ac:dyDescent="0.25">
      <c r="A622" s="9">
        <v>609</v>
      </c>
      <c r="B622" s="34">
        <v>4014176416</v>
      </c>
      <c r="C622" s="2"/>
      <c r="D622" s="14" t="s">
        <v>141</v>
      </c>
      <c r="E622" s="12">
        <f>Table1[[#This Row],[QUANTITY]]-Table1[[#This Row],[CONSUMPTION]]</f>
        <v>1</v>
      </c>
      <c r="F622" s="12">
        <v>1</v>
      </c>
      <c r="G622" s="12" t="s">
        <v>40</v>
      </c>
      <c r="H622" s="10"/>
      <c r="I622" s="32">
        <f t="shared" si="9"/>
        <v>0</v>
      </c>
      <c r="J622" s="10" t="s">
        <v>6</v>
      </c>
      <c r="K622" s="12" t="s">
        <v>751</v>
      </c>
      <c r="L622" s="4"/>
      <c r="M622" s="4"/>
    </row>
    <row r="623" spans="1:13" ht="15" customHeight="1" x14ac:dyDescent="0.25">
      <c r="A623" s="9">
        <v>615</v>
      </c>
      <c r="B623" s="34"/>
      <c r="C623" s="11"/>
      <c r="D623" s="14" t="s">
        <v>754</v>
      </c>
      <c r="E623" s="12">
        <f>Table1[[#This Row],[QUANTITY]]-Table1[[#This Row],[CONSUMPTION]]</f>
        <v>46</v>
      </c>
      <c r="F623" s="12">
        <v>50</v>
      </c>
      <c r="G623" s="12" t="s">
        <v>40</v>
      </c>
      <c r="H623" s="10"/>
      <c r="I623" s="32">
        <f>H623*E623</f>
        <v>0</v>
      </c>
      <c r="J623" s="10" t="s">
        <v>10</v>
      </c>
      <c r="K623" s="12" t="s">
        <v>716</v>
      </c>
      <c r="L623" s="10">
        <v>4</v>
      </c>
      <c r="M623" s="10" t="s">
        <v>755</v>
      </c>
    </row>
    <row r="624" spans="1:13" ht="15" customHeight="1" x14ac:dyDescent="0.25">
      <c r="A624" s="9">
        <v>616</v>
      </c>
      <c r="B624" s="2"/>
      <c r="C624" s="2">
        <v>3363115361</v>
      </c>
      <c r="D624" s="13" t="s">
        <v>756</v>
      </c>
      <c r="E624" s="1">
        <f>Table1[[#This Row],[QUANTITY]]-Table1[[#This Row],[CONSUMPTION]]</f>
        <v>0</v>
      </c>
      <c r="F624" s="1">
        <v>2</v>
      </c>
      <c r="G624" s="1" t="s">
        <v>40</v>
      </c>
      <c r="H624" s="28">
        <v>23658.240000000002</v>
      </c>
      <c r="I624" s="31">
        <f t="shared" ref="I624" si="10">H624*E624</f>
        <v>0</v>
      </c>
      <c r="J624" s="4" t="s">
        <v>4</v>
      </c>
      <c r="K624" s="1" t="s">
        <v>142</v>
      </c>
      <c r="L624" s="4">
        <v>2</v>
      </c>
      <c r="M624" s="4" t="s">
        <v>159</v>
      </c>
    </row>
    <row r="625" spans="1:13" ht="15" customHeight="1" x14ac:dyDescent="0.25">
      <c r="A625" s="9"/>
      <c r="B625" s="33">
        <v>251015030300</v>
      </c>
      <c r="C625" s="2"/>
      <c r="D625" s="2" t="s">
        <v>757</v>
      </c>
      <c r="E625" s="12">
        <v>1</v>
      </c>
      <c r="F625" s="12">
        <v>1</v>
      </c>
      <c r="G625" s="1" t="s">
        <v>40</v>
      </c>
      <c r="H625" s="4"/>
      <c r="I625" s="32">
        <f t="shared" ref="I625:I626" si="11">H625*E625</f>
        <v>0</v>
      </c>
      <c r="J625" s="4" t="s">
        <v>758</v>
      </c>
      <c r="K625" s="1" t="s">
        <v>498</v>
      </c>
      <c r="L625" s="4"/>
      <c r="M625" s="4"/>
    </row>
    <row r="626" spans="1:13" ht="15" customHeight="1" x14ac:dyDescent="0.25">
      <c r="A626" s="9">
        <v>554</v>
      </c>
      <c r="B626" s="34">
        <v>251000000825</v>
      </c>
      <c r="C626" s="11"/>
      <c r="D626" s="11" t="s">
        <v>759</v>
      </c>
      <c r="E626" s="12">
        <v>1</v>
      </c>
      <c r="F626" s="12">
        <v>1</v>
      </c>
      <c r="G626" s="1" t="s">
        <v>40</v>
      </c>
      <c r="H626" s="10"/>
      <c r="I626" s="32">
        <f t="shared" si="11"/>
        <v>0</v>
      </c>
      <c r="J626" s="4" t="s">
        <v>9</v>
      </c>
      <c r="K626" s="1" t="s">
        <v>498</v>
      </c>
      <c r="L626" s="10"/>
      <c r="M626" s="10"/>
    </row>
  </sheetData>
  <mergeCells count="1">
    <mergeCell ref="A13:B13"/>
  </mergeCells>
  <phoneticPr fontId="2" type="noConversion"/>
  <conditionalFormatting sqref="E1:E1048576 F625:F626">
    <cfRule type="cellIs" dxfId="0" priority="2" operator="equal">
      <formula>0</formula>
    </cfRule>
  </conditionalFormatting>
  <pageMargins left="0.7" right="0.7" top="0.75" bottom="0.75" header="0.3" footer="0.3"/>
  <pageSetup paperSize="9"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2526-FF37-4072-8ED7-BB3D6187A373}">
  <dimension ref="A2:M2"/>
  <sheetViews>
    <sheetView topLeftCell="A23" workbookViewId="0">
      <selection activeCell="A4" sqref="A3:A4"/>
    </sheetView>
  </sheetViews>
  <sheetFormatPr defaultRowHeight="15" x14ac:dyDescent="0.25"/>
  <cols>
    <col min="2" max="3" width="14.7109375" customWidth="1"/>
    <col min="4" max="4" width="28.85546875" customWidth="1"/>
    <col min="5" max="5" width="11.140625" customWidth="1"/>
    <col min="6" max="6" width="10.5703125" customWidth="1"/>
    <col min="8" max="8" width="10.140625" customWidth="1"/>
    <col min="10" max="10" width="15.7109375" customWidth="1"/>
    <col min="11" max="11" width="14.7109375" customWidth="1"/>
    <col min="12" max="12" width="17.140625" customWidth="1"/>
    <col min="13" max="13" width="20.28515625" customWidth="1"/>
  </cols>
  <sheetData>
    <row r="2" spans="1:13" s="21" customFormat="1" ht="30" customHeight="1" x14ac:dyDescent="0.25">
      <c r="A2" s="17" t="s">
        <v>25</v>
      </c>
      <c r="B2" s="18" t="s">
        <v>26</v>
      </c>
      <c r="C2" s="18" t="s">
        <v>27</v>
      </c>
      <c r="D2" s="19" t="s">
        <v>28</v>
      </c>
      <c r="E2" s="22" t="s">
        <v>29</v>
      </c>
      <c r="F2" s="18" t="s">
        <v>30</v>
      </c>
      <c r="G2" s="18" t="s">
        <v>31</v>
      </c>
      <c r="H2" s="18" t="s">
        <v>32</v>
      </c>
      <c r="I2" s="18" t="s">
        <v>33</v>
      </c>
      <c r="J2" s="18" t="s">
        <v>34</v>
      </c>
      <c r="K2" s="20" t="s">
        <v>35</v>
      </c>
      <c r="L2" s="18" t="s">
        <v>36</v>
      </c>
      <c r="M2" s="18"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C0B1-69CE-4790-8013-E144377E0D2E}">
  <dimension ref="A1:E61"/>
  <sheetViews>
    <sheetView topLeftCell="A36" zoomScaleNormal="100" workbookViewId="0">
      <selection activeCell="B3" sqref="B3:E61"/>
    </sheetView>
  </sheetViews>
  <sheetFormatPr defaultRowHeight="15" x14ac:dyDescent="0.25"/>
  <cols>
    <col min="1" max="1" width="6.7109375" bestFit="1" customWidth="1"/>
    <col min="2" max="2" width="17" bestFit="1" customWidth="1"/>
    <col min="3" max="3" width="26.28515625" bestFit="1" customWidth="1"/>
    <col min="4" max="4" width="9.85546875" bestFit="1" customWidth="1"/>
    <col min="5" max="5" width="10.42578125" bestFit="1" customWidth="1"/>
    <col min="11" max="11" width="17" bestFit="1" customWidth="1"/>
    <col min="12" max="12" width="20.140625" bestFit="1" customWidth="1"/>
  </cols>
  <sheetData>
    <row r="1" spans="1:5" ht="18" customHeight="1" x14ac:dyDescent="0.25">
      <c r="A1" s="3" t="s">
        <v>25</v>
      </c>
      <c r="B1" s="3" t="s">
        <v>27</v>
      </c>
      <c r="C1" s="3" t="s">
        <v>28</v>
      </c>
      <c r="D1" s="3" t="s">
        <v>30</v>
      </c>
      <c r="E1" s="3" t="s">
        <v>35</v>
      </c>
    </row>
    <row r="2" spans="1:5" x14ac:dyDescent="0.25">
      <c r="A2" s="1">
        <v>1</v>
      </c>
      <c r="B2" s="2" t="s">
        <v>760</v>
      </c>
      <c r="C2" s="1" t="s">
        <v>761</v>
      </c>
      <c r="D2" s="1">
        <v>18</v>
      </c>
      <c r="E2" s="1" t="s">
        <v>86</v>
      </c>
    </row>
    <row r="3" spans="1:5" x14ac:dyDescent="0.25">
      <c r="A3" s="1">
        <v>2</v>
      </c>
      <c r="B3" s="2">
        <v>570909130106</v>
      </c>
      <c r="C3" s="1" t="s">
        <v>762</v>
      </c>
      <c r="D3" s="1">
        <v>3</v>
      </c>
      <c r="E3" s="1" t="s">
        <v>41</v>
      </c>
    </row>
    <row r="4" spans="1:5" x14ac:dyDescent="0.25">
      <c r="A4" s="1">
        <v>3</v>
      </c>
      <c r="B4" s="2">
        <v>570909130107</v>
      </c>
      <c r="C4" s="1" t="s">
        <v>763</v>
      </c>
      <c r="D4" s="1">
        <v>3</v>
      </c>
      <c r="E4" s="1" t="s">
        <v>44</v>
      </c>
    </row>
    <row r="5" spans="1:5" x14ac:dyDescent="0.25">
      <c r="A5" s="1">
        <v>4</v>
      </c>
      <c r="B5" s="2"/>
      <c r="C5" s="1" t="s">
        <v>45</v>
      </c>
      <c r="D5" s="1">
        <v>3</v>
      </c>
      <c r="E5" s="1" t="s">
        <v>46</v>
      </c>
    </row>
    <row r="6" spans="1:5" x14ac:dyDescent="0.25">
      <c r="A6" s="1">
        <v>5</v>
      </c>
      <c r="B6" s="2">
        <v>570978130102</v>
      </c>
      <c r="C6" s="1" t="s">
        <v>48</v>
      </c>
      <c r="D6" s="1">
        <v>3</v>
      </c>
      <c r="E6" s="1" t="s">
        <v>44</v>
      </c>
    </row>
    <row r="7" spans="1:5" x14ac:dyDescent="0.25">
      <c r="A7" s="1">
        <v>6</v>
      </c>
      <c r="B7" s="2">
        <v>5023603</v>
      </c>
      <c r="C7" s="1" t="s">
        <v>50</v>
      </c>
      <c r="D7" s="1">
        <v>1</v>
      </c>
      <c r="E7" s="1" t="s">
        <v>44</v>
      </c>
    </row>
    <row r="8" spans="1:5" x14ac:dyDescent="0.25">
      <c r="A8" s="1">
        <v>7</v>
      </c>
      <c r="B8" s="2">
        <v>700704426073</v>
      </c>
      <c r="C8" s="1" t="s">
        <v>51</v>
      </c>
      <c r="D8" s="1">
        <v>1</v>
      </c>
      <c r="E8" s="1" t="s">
        <v>44</v>
      </c>
    </row>
    <row r="9" spans="1:5" x14ac:dyDescent="0.25">
      <c r="A9" s="1">
        <v>8</v>
      </c>
      <c r="B9" s="2">
        <v>503929300101</v>
      </c>
      <c r="C9" s="1" t="s">
        <v>52</v>
      </c>
      <c r="D9" s="1">
        <v>1</v>
      </c>
      <c r="E9" s="1" t="s">
        <v>44</v>
      </c>
    </row>
    <row r="10" spans="1:5" x14ac:dyDescent="0.25">
      <c r="A10" s="1">
        <v>9</v>
      </c>
      <c r="B10" s="2" t="s">
        <v>54</v>
      </c>
      <c r="C10" s="1" t="s">
        <v>55</v>
      </c>
      <c r="D10" s="1">
        <v>12</v>
      </c>
      <c r="E10" s="1" t="s">
        <v>56</v>
      </c>
    </row>
    <row r="11" spans="1:5" x14ac:dyDescent="0.25">
      <c r="A11" s="1">
        <v>10</v>
      </c>
      <c r="B11" s="2" t="s">
        <v>58</v>
      </c>
      <c r="C11" s="1" t="s">
        <v>59</v>
      </c>
      <c r="D11" s="1">
        <v>3</v>
      </c>
      <c r="E11" s="1" t="s">
        <v>56</v>
      </c>
    </row>
    <row r="12" spans="1:5" x14ac:dyDescent="0.25">
      <c r="A12" s="1">
        <v>11</v>
      </c>
      <c r="B12" s="2">
        <v>311715000007</v>
      </c>
      <c r="C12" s="1" t="s">
        <v>60</v>
      </c>
      <c r="D12" s="1">
        <v>52</v>
      </c>
      <c r="E12" s="1" t="s">
        <v>61</v>
      </c>
    </row>
    <row r="13" spans="1:5" x14ac:dyDescent="0.25">
      <c r="A13" s="1">
        <v>12</v>
      </c>
      <c r="B13" s="2">
        <v>311715000009</v>
      </c>
      <c r="C13" s="1" t="s">
        <v>62</v>
      </c>
      <c r="D13" s="1">
        <v>92</v>
      </c>
      <c r="E13" s="1" t="s">
        <v>61</v>
      </c>
    </row>
    <row r="14" spans="1:5" x14ac:dyDescent="0.25">
      <c r="A14" s="1">
        <v>13</v>
      </c>
      <c r="B14" s="2"/>
      <c r="C14" s="1" t="s">
        <v>63</v>
      </c>
      <c r="D14" s="1">
        <v>100</v>
      </c>
      <c r="E14" s="1" t="s">
        <v>61</v>
      </c>
    </row>
    <row r="15" spans="1:5" x14ac:dyDescent="0.25">
      <c r="A15" s="1">
        <v>14</v>
      </c>
      <c r="B15" s="2" t="s">
        <v>64</v>
      </c>
      <c r="C15" s="1" t="s">
        <v>65</v>
      </c>
      <c r="D15" s="1">
        <v>94</v>
      </c>
      <c r="E15" s="1" t="s">
        <v>61</v>
      </c>
    </row>
    <row r="16" spans="1:5" x14ac:dyDescent="0.25">
      <c r="A16" s="1">
        <v>15</v>
      </c>
      <c r="B16" s="2">
        <v>56922728701</v>
      </c>
      <c r="C16" s="1" t="s">
        <v>66</v>
      </c>
      <c r="D16" s="1">
        <v>10</v>
      </c>
      <c r="E16" s="1" t="s">
        <v>67</v>
      </c>
    </row>
    <row r="17" spans="1:5" x14ac:dyDescent="0.25">
      <c r="A17" s="1">
        <v>16</v>
      </c>
      <c r="B17" s="2">
        <v>5612771861</v>
      </c>
      <c r="C17" s="1" t="s">
        <v>68</v>
      </c>
      <c r="D17" s="1">
        <v>2</v>
      </c>
      <c r="E17" s="1" t="s">
        <v>67</v>
      </c>
    </row>
    <row r="18" spans="1:5" x14ac:dyDescent="0.25">
      <c r="A18" s="1">
        <v>17</v>
      </c>
      <c r="B18" s="2"/>
      <c r="C18" s="1" t="s">
        <v>69</v>
      </c>
      <c r="D18" s="1">
        <v>4</v>
      </c>
      <c r="E18" s="1" t="s">
        <v>61</v>
      </c>
    </row>
    <row r="19" spans="1:5" x14ac:dyDescent="0.25">
      <c r="A19" s="1">
        <v>18</v>
      </c>
      <c r="B19" s="2"/>
      <c r="C19" s="1" t="s">
        <v>70</v>
      </c>
      <c r="D19" s="1" t="s">
        <v>764</v>
      </c>
      <c r="E19" s="1" t="s">
        <v>71</v>
      </c>
    </row>
    <row r="20" spans="1:5" x14ac:dyDescent="0.25">
      <c r="A20" s="1">
        <v>19</v>
      </c>
      <c r="B20" s="2">
        <v>4330169300</v>
      </c>
      <c r="C20" s="1" t="s">
        <v>72</v>
      </c>
      <c r="D20" s="1" t="s">
        <v>765</v>
      </c>
      <c r="E20" s="1" t="s">
        <v>73</v>
      </c>
    </row>
    <row r="21" spans="1:5" x14ac:dyDescent="0.25">
      <c r="A21" s="1">
        <v>20</v>
      </c>
      <c r="B21" s="2">
        <v>31201600049</v>
      </c>
      <c r="C21" s="1" t="s">
        <v>74</v>
      </c>
      <c r="D21" s="1" t="s">
        <v>766</v>
      </c>
      <c r="E21" s="1" t="s">
        <v>75</v>
      </c>
    </row>
    <row r="22" spans="1:5" x14ac:dyDescent="0.25">
      <c r="A22" s="1">
        <v>21</v>
      </c>
      <c r="B22" s="2" t="s">
        <v>76</v>
      </c>
      <c r="C22" s="1" t="s">
        <v>77</v>
      </c>
      <c r="D22" s="1" t="s">
        <v>767</v>
      </c>
      <c r="E22" s="1" t="s">
        <v>75</v>
      </c>
    </row>
    <row r="23" spans="1:5" x14ac:dyDescent="0.25">
      <c r="A23" s="1">
        <v>22</v>
      </c>
      <c r="B23" s="2"/>
      <c r="C23" s="1" t="s">
        <v>79</v>
      </c>
      <c r="D23" s="1" t="s">
        <v>768</v>
      </c>
      <c r="E23" s="1" t="s">
        <v>75</v>
      </c>
    </row>
    <row r="24" spans="1:5" x14ac:dyDescent="0.25">
      <c r="A24" s="1">
        <v>23</v>
      </c>
      <c r="B24" s="2"/>
      <c r="C24" s="1" t="s">
        <v>80</v>
      </c>
      <c r="D24" s="1" t="s">
        <v>769</v>
      </c>
      <c r="E24" s="1" t="s">
        <v>75</v>
      </c>
    </row>
    <row r="25" spans="1:5" x14ac:dyDescent="0.25">
      <c r="A25" s="1">
        <v>24</v>
      </c>
      <c r="B25" s="2"/>
      <c r="C25" s="1" t="s">
        <v>81</v>
      </c>
      <c r="D25" s="1" t="s">
        <v>770</v>
      </c>
      <c r="E25" s="1" t="s">
        <v>75</v>
      </c>
    </row>
    <row r="26" spans="1:5" x14ac:dyDescent="0.25">
      <c r="A26" s="1">
        <v>25</v>
      </c>
      <c r="B26" s="2">
        <v>13016000152</v>
      </c>
      <c r="C26" s="1" t="s">
        <v>82</v>
      </c>
      <c r="D26" s="1" t="s">
        <v>767</v>
      </c>
      <c r="E26" s="1" t="s">
        <v>75</v>
      </c>
    </row>
    <row r="27" spans="1:5" x14ac:dyDescent="0.25">
      <c r="A27" s="1">
        <v>26</v>
      </c>
      <c r="B27" s="2"/>
      <c r="C27" s="1" t="s">
        <v>771</v>
      </c>
      <c r="D27" s="1" t="s">
        <v>772</v>
      </c>
      <c r="E27" s="1" t="s">
        <v>75</v>
      </c>
    </row>
    <row r="28" spans="1:5" x14ac:dyDescent="0.25">
      <c r="A28" s="1">
        <v>27</v>
      </c>
      <c r="B28" s="2">
        <v>123500000135</v>
      </c>
      <c r="C28" s="1" t="s">
        <v>84</v>
      </c>
      <c r="D28" s="1" t="s">
        <v>773</v>
      </c>
      <c r="E28" s="1" t="s">
        <v>75</v>
      </c>
    </row>
    <row r="29" spans="1:5" x14ac:dyDescent="0.25">
      <c r="A29" s="1">
        <v>28</v>
      </c>
      <c r="B29" s="2">
        <v>7025001019</v>
      </c>
      <c r="C29" s="1" t="s">
        <v>774</v>
      </c>
      <c r="D29" s="1" t="s">
        <v>775</v>
      </c>
      <c r="E29" s="1" t="s">
        <v>86</v>
      </c>
    </row>
    <row r="30" spans="1:5" x14ac:dyDescent="0.25">
      <c r="A30" s="1">
        <v>29</v>
      </c>
      <c r="B30" s="2">
        <v>151215090002</v>
      </c>
      <c r="C30" s="1" t="s">
        <v>87</v>
      </c>
      <c r="D30" s="1" t="s">
        <v>776</v>
      </c>
      <c r="E30" s="1" t="s">
        <v>86</v>
      </c>
    </row>
    <row r="31" spans="1:5" x14ac:dyDescent="0.25">
      <c r="A31" s="1">
        <v>30</v>
      </c>
      <c r="B31" s="2"/>
      <c r="C31" s="1" t="s">
        <v>777</v>
      </c>
      <c r="D31" s="1" t="s">
        <v>769</v>
      </c>
      <c r="E31" s="1" t="s">
        <v>86</v>
      </c>
    </row>
    <row r="32" spans="1:5" x14ac:dyDescent="0.25">
      <c r="A32" s="1">
        <v>31</v>
      </c>
      <c r="B32" s="2"/>
      <c r="C32" s="1" t="s">
        <v>89</v>
      </c>
      <c r="D32" s="1" t="s">
        <v>766</v>
      </c>
      <c r="E32" s="1" t="s">
        <v>86</v>
      </c>
    </row>
    <row r="33" spans="1:5" x14ac:dyDescent="0.25">
      <c r="A33" s="1">
        <v>32</v>
      </c>
      <c r="B33" s="2"/>
      <c r="C33" s="1" t="s">
        <v>90</v>
      </c>
      <c r="D33" s="1" t="s">
        <v>776</v>
      </c>
      <c r="E33" s="1" t="s">
        <v>86</v>
      </c>
    </row>
    <row r="34" spans="1:5" x14ac:dyDescent="0.25">
      <c r="A34" s="1">
        <v>33</v>
      </c>
      <c r="B34" s="2" t="s">
        <v>91</v>
      </c>
      <c r="C34" s="1" t="s">
        <v>92</v>
      </c>
      <c r="D34" s="1" t="s">
        <v>768</v>
      </c>
      <c r="E34" s="1" t="s">
        <v>93</v>
      </c>
    </row>
    <row r="35" spans="1:5" x14ac:dyDescent="0.25">
      <c r="A35" s="1">
        <v>34</v>
      </c>
      <c r="B35" s="2"/>
      <c r="C35" s="1" t="s">
        <v>94</v>
      </c>
      <c r="D35" s="1" t="s">
        <v>778</v>
      </c>
      <c r="E35" s="1" t="s">
        <v>93</v>
      </c>
    </row>
    <row r="36" spans="1:5" x14ac:dyDescent="0.25">
      <c r="A36" s="1">
        <v>35</v>
      </c>
      <c r="B36" s="2"/>
      <c r="C36" s="1" t="s">
        <v>95</v>
      </c>
      <c r="D36" s="1" t="s">
        <v>779</v>
      </c>
      <c r="E36" s="1" t="s">
        <v>96</v>
      </c>
    </row>
    <row r="37" spans="1:5" x14ac:dyDescent="0.25">
      <c r="A37" s="1">
        <v>36</v>
      </c>
      <c r="B37" s="2"/>
      <c r="C37" s="1" t="s">
        <v>97</v>
      </c>
      <c r="D37" s="1" t="s">
        <v>769</v>
      </c>
      <c r="E37" s="1" t="s">
        <v>96</v>
      </c>
    </row>
    <row r="38" spans="1:5" x14ac:dyDescent="0.25">
      <c r="A38" s="1">
        <v>37</v>
      </c>
      <c r="B38" s="2" t="s">
        <v>98</v>
      </c>
      <c r="C38" s="1" t="s">
        <v>99</v>
      </c>
      <c r="D38" s="1" t="s">
        <v>779</v>
      </c>
      <c r="E38" s="1" t="s">
        <v>100</v>
      </c>
    </row>
    <row r="39" spans="1:5" x14ac:dyDescent="0.25">
      <c r="A39" s="1">
        <v>38</v>
      </c>
      <c r="B39" s="2" t="s">
        <v>102</v>
      </c>
      <c r="C39" s="1" t="s">
        <v>99</v>
      </c>
      <c r="D39" s="1" t="s">
        <v>770</v>
      </c>
      <c r="E39" s="1" t="s">
        <v>100</v>
      </c>
    </row>
    <row r="40" spans="1:5" x14ac:dyDescent="0.25">
      <c r="A40" s="1">
        <v>39</v>
      </c>
      <c r="B40" s="2"/>
      <c r="C40" s="1" t="s">
        <v>104</v>
      </c>
      <c r="D40" s="1" t="s">
        <v>778</v>
      </c>
      <c r="E40" s="1" t="s">
        <v>105</v>
      </c>
    </row>
    <row r="41" spans="1:5" x14ac:dyDescent="0.25">
      <c r="A41" s="1">
        <v>40</v>
      </c>
      <c r="B41" s="2">
        <v>564596</v>
      </c>
      <c r="C41" s="1" t="s">
        <v>106</v>
      </c>
      <c r="D41" s="1" t="s">
        <v>773</v>
      </c>
      <c r="E41" s="1" t="s">
        <v>107</v>
      </c>
    </row>
    <row r="42" spans="1:5" x14ac:dyDescent="0.25">
      <c r="A42" s="1">
        <v>41</v>
      </c>
      <c r="B42" s="2">
        <v>50259</v>
      </c>
      <c r="C42" s="1" t="s">
        <v>109</v>
      </c>
      <c r="D42" s="1" t="s">
        <v>778</v>
      </c>
      <c r="E42" s="1" t="s">
        <v>107</v>
      </c>
    </row>
    <row r="43" spans="1:5" x14ac:dyDescent="0.25">
      <c r="A43" s="1">
        <v>42</v>
      </c>
      <c r="B43" s="2"/>
      <c r="C43" s="1" t="s">
        <v>110</v>
      </c>
      <c r="D43" s="1" t="s">
        <v>780</v>
      </c>
      <c r="E43" s="1" t="s">
        <v>111</v>
      </c>
    </row>
    <row r="44" spans="1:5" x14ac:dyDescent="0.25">
      <c r="A44" s="1">
        <v>43</v>
      </c>
      <c r="B44" s="2"/>
      <c r="C44" s="1" t="s">
        <v>112</v>
      </c>
      <c r="D44" s="1" t="s">
        <v>781</v>
      </c>
      <c r="E44" s="1" t="s">
        <v>111</v>
      </c>
    </row>
    <row r="45" spans="1:5" x14ac:dyDescent="0.25">
      <c r="A45" s="1">
        <v>44</v>
      </c>
      <c r="B45" s="2"/>
      <c r="C45" s="1" t="s">
        <v>113</v>
      </c>
      <c r="D45" s="1" t="s">
        <v>766</v>
      </c>
      <c r="E45" s="1" t="s">
        <v>111</v>
      </c>
    </row>
    <row r="46" spans="1:5" x14ac:dyDescent="0.25">
      <c r="A46" s="1">
        <v>45</v>
      </c>
      <c r="B46" s="2"/>
      <c r="C46" s="1" t="s">
        <v>114</v>
      </c>
      <c r="D46" s="1" t="s">
        <v>782</v>
      </c>
      <c r="E46" s="1" t="s">
        <v>105</v>
      </c>
    </row>
    <row r="47" spans="1:5" x14ac:dyDescent="0.25">
      <c r="A47" s="1">
        <v>46</v>
      </c>
      <c r="B47" s="2"/>
      <c r="C47" s="1" t="s">
        <v>116</v>
      </c>
      <c r="D47" s="1" t="s">
        <v>764</v>
      </c>
      <c r="E47" s="1" t="s">
        <v>111</v>
      </c>
    </row>
    <row r="48" spans="1:5" x14ac:dyDescent="0.25">
      <c r="A48" s="1">
        <v>47</v>
      </c>
      <c r="B48" s="2"/>
      <c r="C48" s="1" t="s">
        <v>117</v>
      </c>
      <c r="D48" s="1" t="s">
        <v>767</v>
      </c>
      <c r="E48" s="1" t="s">
        <v>118</v>
      </c>
    </row>
    <row r="49" spans="1:5" x14ac:dyDescent="0.25">
      <c r="A49" s="1">
        <v>48</v>
      </c>
      <c r="B49" s="2"/>
      <c r="C49" s="1" t="s">
        <v>119</v>
      </c>
      <c r="D49" s="1" t="s">
        <v>767</v>
      </c>
      <c r="E49" s="1" t="s">
        <v>120</v>
      </c>
    </row>
    <row r="50" spans="1:5" x14ac:dyDescent="0.25">
      <c r="A50" s="1">
        <v>49</v>
      </c>
      <c r="B50" s="2"/>
      <c r="C50" s="1" t="s">
        <v>121</v>
      </c>
      <c r="D50" s="1" t="s">
        <v>767</v>
      </c>
      <c r="E50" s="1" t="s">
        <v>122</v>
      </c>
    </row>
    <row r="51" spans="1:5" x14ac:dyDescent="0.25">
      <c r="A51" s="1">
        <v>50</v>
      </c>
      <c r="B51" s="2"/>
      <c r="C51" s="1" t="s">
        <v>123</v>
      </c>
      <c r="D51" s="1" t="s">
        <v>767</v>
      </c>
      <c r="E51" s="1" t="s">
        <v>124</v>
      </c>
    </row>
    <row r="52" spans="1:5" x14ac:dyDescent="0.25">
      <c r="A52" s="1">
        <v>51</v>
      </c>
      <c r="B52" s="2"/>
      <c r="C52" s="1" t="s">
        <v>125</v>
      </c>
      <c r="D52" s="1" t="s">
        <v>764</v>
      </c>
      <c r="E52" s="1" t="s">
        <v>126</v>
      </c>
    </row>
    <row r="53" spans="1:5" x14ac:dyDescent="0.25">
      <c r="A53" s="1">
        <v>52</v>
      </c>
      <c r="B53" s="2"/>
      <c r="C53" s="1" t="s">
        <v>127</v>
      </c>
      <c r="D53" s="1" t="s">
        <v>764</v>
      </c>
      <c r="E53" s="1" t="s">
        <v>111</v>
      </c>
    </row>
    <row r="54" spans="1:5" x14ac:dyDescent="0.25">
      <c r="A54" s="1">
        <v>53</v>
      </c>
      <c r="B54" s="2"/>
      <c r="C54" s="1" t="s">
        <v>128</v>
      </c>
      <c r="D54" s="1" t="s">
        <v>783</v>
      </c>
      <c r="E54" s="1" t="s">
        <v>130</v>
      </c>
    </row>
    <row r="55" spans="1:5" x14ac:dyDescent="0.25">
      <c r="A55" s="1">
        <v>54</v>
      </c>
      <c r="B55" s="2"/>
      <c r="C55" s="1" t="s">
        <v>131</v>
      </c>
      <c r="D55" s="1" t="s">
        <v>784</v>
      </c>
      <c r="E55" s="1" t="s">
        <v>132</v>
      </c>
    </row>
    <row r="56" spans="1:5" x14ac:dyDescent="0.25">
      <c r="A56" s="1">
        <v>55</v>
      </c>
      <c r="B56" s="2" t="s">
        <v>135</v>
      </c>
      <c r="C56" s="1" t="s">
        <v>136</v>
      </c>
      <c r="D56" s="1" t="s">
        <v>778</v>
      </c>
      <c r="E56" s="1" t="s">
        <v>137</v>
      </c>
    </row>
    <row r="57" spans="1:5" x14ac:dyDescent="0.25">
      <c r="A57" s="1">
        <v>56</v>
      </c>
      <c r="B57" s="2" t="s">
        <v>138</v>
      </c>
      <c r="C57" s="1" t="s">
        <v>139</v>
      </c>
      <c r="D57" s="1" t="s">
        <v>764</v>
      </c>
      <c r="E57" s="1" t="s">
        <v>137</v>
      </c>
    </row>
    <row r="58" spans="1:5" x14ac:dyDescent="0.25">
      <c r="A58" s="1">
        <v>57</v>
      </c>
      <c r="B58" s="2"/>
      <c r="C58" s="1" t="s">
        <v>140</v>
      </c>
      <c r="D58" s="1" t="s">
        <v>775</v>
      </c>
      <c r="E58" s="1" t="s">
        <v>137</v>
      </c>
    </row>
    <row r="59" spans="1:5" x14ac:dyDescent="0.25">
      <c r="A59" s="1">
        <v>58</v>
      </c>
      <c r="B59" s="2">
        <v>197387</v>
      </c>
      <c r="C59" s="1" t="s">
        <v>141</v>
      </c>
      <c r="D59" s="1" t="s">
        <v>785</v>
      </c>
      <c r="E59" s="1" t="s">
        <v>142</v>
      </c>
    </row>
    <row r="60" spans="1:5" x14ac:dyDescent="0.25">
      <c r="A60" s="1">
        <v>59</v>
      </c>
      <c r="B60" s="2">
        <v>197384</v>
      </c>
      <c r="C60" s="1" t="s">
        <v>141</v>
      </c>
      <c r="D60" s="1" t="s">
        <v>785</v>
      </c>
      <c r="E60" s="1" t="s">
        <v>142</v>
      </c>
    </row>
    <row r="61" spans="1:5" x14ac:dyDescent="0.25">
      <c r="A61" s="1">
        <v>60</v>
      </c>
      <c r="B61" s="2">
        <v>197385</v>
      </c>
      <c r="C61" s="1" t="s">
        <v>141</v>
      </c>
      <c r="D61" s="1" t="s">
        <v>785</v>
      </c>
      <c r="E61" s="1" t="s">
        <v>142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708F2-BECD-4FD9-950E-B7CA5AA684E4}">
  <dimension ref="A1:F30"/>
  <sheetViews>
    <sheetView workbookViewId="0">
      <selection activeCell="B2" sqref="B2:F30"/>
    </sheetView>
  </sheetViews>
  <sheetFormatPr defaultRowHeight="15" x14ac:dyDescent="0.25"/>
  <cols>
    <col min="2" max="2" width="15.85546875" bestFit="1" customWidth="1"/>
    <col min="3" max="3" width="13.5703125" bestFit="1" customWidth="1"/>
    <col min="4" max="4" width="14.7109375" bestFit="1" customWidth="1"/>
    <col min="5" max="5" width="10" bestFit="1" customWidth="1"/>
    <col min="6" max="6" width="10.42578125" bestFit="1" customWidth="1"/>
  </cols>
  <sheetData>
    <row r="1" spans="1:6" ht="27.75" customHeight="1" x14ac:dyDescent="0.25">
      <c r="A1" s="3" t="s">
        <v>25</v>
      </c>
      <c r="B1" s="3" t="s">
        <v>26</v>
      </c>
      <c r="C1" s="3" t="s">
        <v>27</v>
      </c>
      <c r="D1" s="3" t="s">
        <v>28</v>
      </c>
      <c r="E1" s="3" t="s">
        <v>30</v>
      </c>
      <c r="F1" s="3" t="s">
        <v>35</v>
      </c>
    </row>
    <row r="2" spans="1:6" x14ac:dyDescent="0.25">
      <c r="A2" s="1">
        <v>1</v>
      </c>
      <c r="B2" s="5">
        <v>201017111057</v>
      </c>
      <c r="C2" s="1">
        <v>3361329022</v>
      </c>
      <c r="D2" s="1" t="s">
        <v>742</v>
      </c>
      <c r="E2" s="1" t="s">
        <v>769</v>
      </c>
      <c r="F2" s="1" t="s">
        <v>145</v>
      </c>
    </row>
    <row r="3" spans="1:6" x14ac:dyDescent="0.25">
      <c r="A3" s="1">
        <v>2</v>
      </c>
      <c r="B3" s="2">
        <v>314015031623</v>
      </c>
      <c r="C3" s="1">
        <v>3360314364</v>
      </c>
      <c r="D3" s="1" t="s">
        <v>743</v>
      </c>
      <c r="E3" s="1" t="s">
        <v>769</v>
      </c>
      <c r="F3" s="1" t="s">
        <v>145</v>
      </c>
    </row>
    <row r="4" spans="1:6" x14ac:dyDescent="0.25">
      <c r="A4" s="1">
        <v>3</v>
      </c>
      <c r="B4" s="2"/>
      <c r="C4" s="1">
        <v>3362328046</v>
      </c>
      <c r="D4" s="1" t="s">
        <v>743</v>
      </c>
      <c r="E4" s="1" t="s">
        <v>769</v>
      </c>
      <c r="F4" s="1" t="s">
        <v>145</v>
      </c>
    </row>
    <row r="5" spans="1:6" x14ac:dyDescent="0.25">
      <c r="A5" s="1">
        <v>4</v>
      </c>
      <c r="B5" s="2">
        <v>201017110506</v>
      </c>
      <c r="C5" s="1">
        <v>3360332259</v>
      </c>
      <c r="D5" s="1" t="s">
        <v>744</v>
      </c>
      <c r="E5" s="1" t="s">
        <v>769</v>
      </c>
      <c r="F5" s="1" t="s">
        <v>145</v>
      </c>
    </row>
    <row r="6" spans="1:6" x14ac:dyDescent="0.25">
      <c r="A6" s="1">
        <v>5</v>
      </c>
      <c r="B6" s="2"/>
      <c r="C6" s="1">
        <v>3361335025</v>
      </c>
      <c r="D6" s="1" t="s">
        <v>745</v>
      </c>
      <c r="E6" s="1" t="s">
        <v>769</v>
      </c>
      <c r="F6" s="1" t="s">
        <v>145</v>
      </c>
    </row>
    <row r="7" spans="1:6" x14ac:dyDescent="0.25">
      <c r="A7" s="1">
        <v>6</v>
      </c>
      <c r="B7" s="2">
        <v>201017110507</v>
      </c>
      <c r="C7" s="1">
        <v>3360314460</v>
      </c>
      <c r="D7" s="1" t="s">
        <v>743</v>
      </c>
      <c r="E7" s="1" t="s">
        <v>769</v>
      </c>
      <c r="F7" s="1" t="s">
        <v>145</v>
      </c>
    </row>
    <row r="8" spans="1:6" x14ac:dyDescent="0.25">
      <c r="A8" s="1">
        <v>7</v>
      </c>
      <c r="B8" s="2" t="s">
        <v>143</v>
      </c>
      <c r="C8" s="1">
        <v>3363083591</v>
      </c>
      <c r="D8" s="1" t="s">
        <v>144</v>
      </c>
      <c r="E8" s="1" t="s">
        <v>764</v>
      </c>
      <c r="F8" s="1" t="s">
        <v>145</v>
      </c>
    </row>
    <row r="9" spans="1:6" x14ac:dyDescent="0.25">
      <c r="A9" s="1">
        <v>8</v>
      </c>
      <c r="B9" s="1"/>
      <c r="C9" s="1" t="s">
        <v>146</v>
      </c>
      <c r="D9" s="1" t="s">
        <v>147</v>
      </c>
      <c r="E9" s="1" t="s">
        <v>767</v>
      </c>
      <c r="F9" s="1" t="s">
        <v>145</v>
      </c>
    </row>
    <row r="10" spans="1:6" x14ac:dyDescent="0.25">
      <c r="A10" s="1">
        <v>9</v>
      </c>
      <c r="B10" s="1"/>
      <c r="C10" s="1">
        <v>3363087482</v>
      </c>
      <c r="D10" s="1" t="s">
        <v>148</v>
      </c>
      <c r="E10" s="1" t="s">
        <v>764</v>
      </c>
      <c r="F10" s="1" t="s">
        <v>145</v>
      </c>
    </row>
    <row r="11" spans="1:6" x14ac:dyDescent="0.25">
      <c r="A11" s="1">
        <v>10</v>
      </c>
      <c r="B11" s="1"/>
      <c r="C11" s="1">
        <v>33630830370</v>
      </c>
      <c r="D11" s="1" t="s">
        <v>149</v>
      </c>
      <c r="E11" s="1" t="s">
        <v>764</v>
      </c>
      <c r="F11" s="1" t="s">
        <v>145</v>
      </c>
    </row>
    <row r="12" spans="1:6" x14ac:dyDescent="0.25">
      <c r="A12" s="1">
        <v>11</v>
      </c>
      <c r="B12" s="1"/>
      <c r="C12" s="1">
        <v>3363111412</v>
      </c>
      <c r="D12" s="1" t="s">
        <v>786</v>
      </c>
      <c r="E12" s="1" t="s">
        <v>769</v>
      </c>
      <c r="F12" s="1" t="s">
        <v>145</v>
      </c>
    </row>
    <row r="13" spans="1:6" x14ac:dyDescent="0.25">
      <c r="A13" s="1">
        <v>12</v>
      </c>
      <c r="B13" s="1"/>
      <c r="C13" s="1">
        <v>3363069081</v>
      </c>
      <c r="D13" s="1" t="s">
        <v>152</v>
      </c>
      <c r="E13" s="1" t="s">
        <v>764</v>
      </c>
      <c r="F13" s="1" t="s">
        <v>145</v>
      </c>
    </row>
    <row r="14" spans="1:6" x14ac:dyDescent="0.25">
      <c r="A14" s="1">
        <v>13</v>
      </c>
      <c r="B14" s="1"/>
      <c r="C14" s="1">
        <v>3363115515</v>
      </c>
      <c r="D14" s="1" t="s">
        <v>154</v>
      </c>
      <c r="E14" s="1" t="s">
        <v>764</v>
      </c>
      <c r="F14" s="1" t="s">
        <v>145</v>
      </c>
    </row>
    <row r="15" spans="1:6" x14ac:dyDescent="0.25">
      <c r="A15" s="1">
        <v>14</v>
      </c>
      <c r="B15" s="1"/>
      <c r="C15" s="1">
        <v>3363121816</v>
      </c>
      <c r="D15" s="1" t="s">
        <v>155</v>
      </c>
      <c r="E15" s="1" t="s">
        <v>787</v>
      </c>
      <c r="F15" s="1" t="s">
        <v>145</v>
      </c>
    </row>
    <row r="16" spans="1:6" x14ac:dyDescent="0.25">
      <c r="A16" s="1">
        <v>15</v>
      </c>
      <c r="B16" s="1"/>
      <c r="C16" s="1">
        <v>3363067123</v>
      </c>
      <c r="D16" s="1" t="s">
        <v>156</v>
      </c>
      <c r="E16" s="1" t="s">
        <v>764</v>
      </c>
      <c r="F16" s="1" t="s">
        <v>145</v>
      </c>
    </row>
    <row r="17" spans="1:6" x14ac:dyDescent="0.25">
      <c r="A17" s="1">
        <v>16</v>
      </c>
      <c r="B17" s="1"/>
      <c r="C17" s="1">
        <v>3363115360</v>
      </c>
      <c r="D17" s="1" t="s">
        <v>158</v>
      </c>
      <c r="E17" s="1" t="s">
        <v>769</v>
      </c>
      <c r="F17" s="1" t="s">
        <v>142</v>
      </c>
    </row>
    <row r="18" spans="1:6" x14ac:dyDescent="0.25">
      <c r="A18" s="1">
        <v>17</v>
      </c>
      <c r="B18" s="1"/>
      <c r="C18" s="1">
        <v>3363105727</v>
      </c>
      <c r="D18" s="1" t="s">
        <v>161</v>
      </c>
      <c r="E18" s="1" t="s">
        <v>764</v>
      </c>
      <c r="F18" s="1" t="s">
        <v>162</v>
      </c>
    </row>
    <row r="19" spans="1:6" x14ac:dyDescent="0.25">
      <c r="A19" s="1">
        <v>18</v>
      </c>
      <c r="B19" s="1"/>
      <c r="C19" s="1">
        <v>3363104395</v>
      </c>
      <c r="D19" s="1" t="s">
        <v>161</v>
      </c>
      <c r="E19" s="1" t="s">
        <v>764</v>
      </c>
      <c r="F19" s="1" t="s">
        <v>162</v>
      </c>
    </row>
    <row r="20" spans="1:6" x14ac:dyDescent="0.25">
      <c r="A20" s="1">
        <v>19</v>
      </c>
      <c r="B20" s="1"/>
      <c r="C20" s="1"/>
      <c r="D20" s="1" t="s">
        <v>786</v>
      </c>
      <c r="E20" s="1" t="s">
        <v>779</v>
      </c>
      <c r="F20" s="1" t="s">
        <v>162</v>
      </c>
    </row>
    <row r="21" spans="1:6" x14ac:dyDescent="0.25">
      <c r="A21" s="1">
        <v>20</v>
      </c>
      <c r="B21" s="1"/>
      <c r="C21" s="1">
        <v>3362261541</v>
      </c>
      <c r="D21" s="1" t="s">
        <v>165</v>
      </c>
      <c r="E21" s="1" t="s">
        <v>769</v>
      </c>
      <c r="F21" s="1" t="s">
        <v>162</v>
      </c>
    </row>
    <row r="22" spans="1:6" x14ac:dyDescent="0.25">
      <c r="A22" s="1">
        <v>21</v>
      </c>
      <c r="B22" s="1"/>
      <c r="C22" s="1">
        <v>3361854347</v>
      </c>
      <c r="D22" s="1" t="s">
        <v>68</v>
      </c>
      <c r="E22" s="1" t="s">
        <v>769</v>
      </c>
      <c r="F22" s="1" t="s">
        <v>162</v>
      </c>
    </row>
    <row r="23" spans="1:6" x14ac:dyDescent="0.25">
      <c r="A23" s="1">
        <v>22</v>
      </c>
      <c r="B23" s="1"/>
      <c r="C23" s="1">
        <v>3361850596</v>
      </c>
      <c r="D23" s="1" t="s">
        <v>166</v>
      </c>
      <c r="E23" s="1" t="s">
        <v>764</v>
      </c>
      <c r="F23" s="1" t="s">
        <v>162</v>
      </c>
    </row>
    <row r="24" spans="1:6" x14ac:dyDescent="0.25">
      <c r="A24" s="1">
        <v>23</v>
      </c>
      <c r="B24" s="1"/>
      <c r="C24" s="1">
        <v>3360103750</v>
      </c>
      <c r="D24" s="1" t="s">
        <v>168</v>
      </c>
      <c r="E24" s="1" t="s">
        <v>764</v>
      </c>
      <c r="F24" s="1" t="s">
        <v>162</v>
      </c>
    </row>
    <row r="25" spans="1:6" x14ac:dyDescent="0.25">
      <c r="A25" s="1">
        <v>24</v>
      </c>
      <c r="B25" s="1"/>
      <c r="C25" s="1">
        <v>3361850422</v>
      </c>
      <c r="D25" s="1" t="s">
        <v>169</v>
      </c>
      <c r="E25" s="1" t="s">
        <v>764</v>
      </c>
      <c r="F25" s="1" t="s">
        <v>162</v>
      </c>
    </row>
    <row r="26" spans="1:6" x14ac:dyDescent="0.25">
      <c r="A26" s="1">
        <v>25</v>
      </c>
      <c r="B26" s="1"/>
      <c r="C26" s="1">
        <v>3363087286</v>
      </c>
      <c r="D26" s="1" t="s">
        <v>170</v>
      </c>
      <c r="E26" s="1" t="s">
        <v>764</v>
      </c>
      <c r="F26" s="1" t="s">
        <v>162</v>
      </c>
    </row>
    <row r="27" spans="1:6" x14ac:dyDescent="0.25">
      <c r="A27" s="1">
        <v>26</v>
      </c>
      <c r="B27" s="1"/>
      <c r="C27" s="1"/>
      <c r="D27" s="1" t="s">
        <v>788</v>
      </c>
      <c r="E27" s="1" t="s">
        <v>764</v>
      </c>
      <c r="F27" s="1" t="s">
        <v>162</v>
      </c>
    </row>
    <row r="28" spans="1:6" x14ac:dyDescent="0.25">
      <c r="A28" s="1">
        <v>27</v>
      </c>
      <c r="B28" s="1"/>
      <c r="C28" s="1">
        <v>3363122838</v>
      </c>
      <c r="D28" s="1" t="s">
        <v>173</v>
      </c>
      <c r="E28" s="1" t="s">
        <v>764</v>
      </c>
      <c r="F28" s="1" t="s">
        <v>162</v>
      </c>
    </row>
    <row r="29" spans="1:6" x14ac:dyDescent="0.25">
      <c r="A29" s="1">
        <v>28</v>
      </c>
      <c r="B29" s="1"/>
      <c r="C29" s="1">
        <v>3363087185</v>
      </c>
      <c r="D29" s="1" t="s">
        <v>175</v>
      </c>
      <c r="E29" s="1" t="s">
        <v>764</v>
      </c>
      <c r="F29" s="1" t="s">
        <v>162</v>
      </c>
    </row>
    <row r="30" spans="1:6" x14ac:dyDescent="0.25">
      <c r="A30" s="1">
        <v>29</v>
      </c>
      <c r="B30" s="1"/>
      <c r="C30" s="1">
        <v>3363083873</v>
      </c>
      <c r="D30" s="1" t="s">
        <v>789</v>
      </c>
      <c r="E30" s="1" t="s">
        <v>764</v>
      </c>
      <c r="F30" s="1" t="s">
        <v>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11BDE-9D3C-4537-9797-872F47310BCE}">
  <dimension ref="A1:E40"/>
  <sheetViews>
    <sheetView topLeftCell="A20" workbookViewId="0">
      <selection activeCell="B2" sqref="B2:E40"/>
    </sheetView>
  </sheetViews>
  <sheetFormatPr defaultRowHeight="15" x14ac:dyDescent="0.25"/>
  <cols>
    <col min="2" max="2" width="17.42578125" bestFit="1" customWidth="1"/>
    <col min="3" max="3" width="26.42578125" bestFit="1" customWidth="1"/>
    <col min="4" max="4" width="10" bestFit="1" customWidth="1"/>
    <col min="5" max="5" width="10.42578125" bestFit="1" customWidth="1"/>
  </cols>
  <sheetData>
    <row r="1" spans="1:5" ht="23.25" customHeight="1" x14ac:dyDescent="0.25">
      <c r="A1" s="3" t="s">
        <v>25</v>
      </c>
      <c r="B1" s="3" t="s">
        <v>27</v>
      </c>
      <c r="C1" s="3" t="s">
        <v>28</v>
      </c>
      <c r="D1" s="3" t="s">
        <v>30</v>
      </c>
      <c r="E1" s="3" t="s">
        <v>35</v>
      </c>
    </row>
    <row r="2" spans="1:5" x14ac:dyDescent="0.25">
      <c r="A2" s="1">
        <v>1</v>
      </c>
      <c r="B2" s="2" t="s">
        <v>177</v>
      </c>
      <c r="C2" s="1" t="s">
        <v>178</v>
      </c>
      <c r="D2" s="1" t="s">
        <v>764</v>
      </c>
      <c r="E2" s="1" t="s">
        <v>179</v>
      </c>
    </row>
    <row r="3" spans="1:5" x14ac:dyDescent="0.25">
      <c r="A3" s="1">
        <v>2</v>
      </c>
      <c r="B3" s="2" t="s">
        <v>180</v>
      </c>
      <c r="C3" s="1" t="s">
        <v>181</v>
      </c>
      <c r="D3" s="1" t="s">
        <v>764</v>
      </c>
      <c r="E3" s="1" t="s">
        <v>179</v>
      </c>
    </row>
    <row r="4" spans="1:5" x14ac:dyDescent="0.25">
      <c r="A4" s="1">
        <v>3</v>
      </c>
      <c r="B4" s="2">
        <v>60101256</v>
      </c>
      <c r="C4" s="1" t="s">
        <v>182</v>
      </c>
      <c r="D4" s="1" t="s">
        <v>769</v>
      </c>
      <c r="E4" s="1" t="s">
        <v>183</v>
      </c>
    </row>
    <row r="5" spans="1:5" x14ac:dyDescent="0.25">
      <c r="A5" s="1">
        <v>4</v>
      </c>
      <c r="B5" s="2" t="s">
        <v>184</v>
      </c>
      <c r="C5" s="1" t="s">
        <v>185</v>
      </c>
      <c r="D5" s="1" t="s">
        <v>790</v>
      </c>
      <c r="E5" s="1" t="s">
        <v>179</v>
      </c>
    </row>
    <row r="6" spans="1:5" x14ac:dyDescent="0.25">
      <c r="A6" s="1">
        <v>5</v>
      </c>
      <c r="B6" s="2" t="s">
        <v>186</v>
      </c>
      <c r="C6" s="1" t="s">
        <v>187</v>
      </c>
      <c r="D6" s="1" t="s">
        <v>769</v>
      </c>
      <c r="E6" s="1" t="s">
        <v>179</v>
      </c>
    </row>
    <row r="7" spans="1:5" x14ac:dyDescent="0.25">
      <c r="A7" s="1">
        <v>6</v>
      </c>
      <c r="B7" s="2">
        <v>60328868</v>
      </c>
      <c r="C7" s="1" t="s">
        <v>188</v>
      </c>
      <c r="D7" s="1" t="s">
        <v>769</v>
      </c>
      <c r="E7" s="1" t="s">
        <v>183</v>
      </c>
    </row>
    <row r="8" spans="1:5" x14ac:dyDescent="0.25">
      <c r="A8" s="1">
        <v>7</v>
      </c>
      <c r="B8" s="2">
        <v>60327523</v>
      </c>
      <c r="C8" s="1" t="s">
        <v>189</v>
      </c>
      <c r="D8" s="1" t="s">
        <v>787</v>
      </c>
      <c r="E8" s="1" t="s">
        <v>183</v>
      </c>
    </row>
    <row r="9" spans="1:5" x14ac:dyDescent="0.25">
      <c r="A9" s="1">
        <v>8</v>
      </c>
      <c r="B9" s="2" t="s">
        <v>190</v>
      </c>
      <c r="C9" s="1" t="s">
        <v>189</v>
      </c>
      <c r="D9" s="1" t="s">
        <v>764</v>
      </c>
      <c r="E9" s="1" t="s">
        <v>183</v>
      </c>
    </row>
    <row r="10" spans="1:5" x14ac:dyDescent="0.25">
      <c r="A10" s="1">
        <v>9</v>
      </c>
      <c r="B10" s="2" t="s">
        <v>191</v>
      </c>
      <c r="C10" s="1" t="s">
        <v>192</v>
      </c>
      <c r="D10" s="1" t="s">
        <v>769</v>
      </c>
      <c r="E10" s="1" t="s">
        <v>183</v>
      </c>
    </row>
    <row r="11" spans="1:5" x14ac:dyDescent="0.25">
      <c r="A11" s="1">
        <v>10</v>
      </c>
      <c r="B11" s="2" t="s">
        <v>193</v>
      </c>
      <c r="C11" s="1" t="s">
        <v>192</v>
      </c>
      <c r="D11" s="1" t="s">
        <v>769</v>
      </c>
      <c r="E11" s="1" t="s">
        <v>183</v>
      </c>
    </row>
    <row r="12" spans="1:5" x14ac:dyDescent="0.25">
      <c r="A12" s="1">
        <v>11</v>
      </c>
      <c r="B12" s="2" t="s">
        <v>194</v>
      </c>
      <c r="C12" s="1" t="s">
        <v>195</v>
      </c>
      <c r="D12" s="1" t="s">
        <v>766</v>
      </c>
      <c r="E12" s="1" t="s">
        <v>183</v>
      </c>
    </row>
    <row r="13" spans="1:5" x14ac:dyDescent="0.25">
      <c r="A13" s="1">
        <v>12</v>
      </c>
      <c r="B13" s="2" t="s">
        <v>791</v>
      </c>
      <c r="C13" s="1" t="s">
        <v>197</v>
      </c>
      <c r="D13" s="1" t="s">
        <v>769</v>
      </c>
      <c r="E13" s="1" t="s">
        <v>198</v>
      </c>
    </row>
    <row r="14" spans="1:5" x14ac:dyDescent="0.25">
      <c r="A14" s="1">
        <v>13</v>
      </c>
      <c r="B14" s="2">
        <v>13447295</v>
      </c>
      <c r="C14" s="1" t="s">
        <v>199</v>
      </c>
      <c r="D14" s="1" t="s">
        <v>769</v>
      </c>
      <c r="E14" s="1" t="s">
        <v>198</v>
      </c>
    </row>
    <row r="15" spans="1:5" x14ac:dyDescent="0.25">
      <c r="A15" s="1">
        <v>14</v>
      </c>
      <c r="B15" s="2" t="s">
        <v>200</v>
      </c>
      <c r="C15" s="1" t="s">
        <v>201</v>
      </c>
      <c r="D15" s="1" t="s">
        <v>792</v>
      </c>
      <c r="E15" s="1" t="s">
        <v>198</v>
      </c>
    </row>
    <row r="16" spans="1:5" x14ac:dyDescent="0.25">
      <c r="A16" s="1">
        <v>15</v>
      </c>
      <c r="B16" s="2" t="s">
        <v>202</v>
      </c>
      <c r="C16" s="1" t="s">
        <v>203</v>
      </c>
      <c r="D16" s="1" t="s">
        <v>769</v>
      </c>
      <c r="E16" s="1" t="s">
        <v>198</v>
      </c>
    </row>
    <row r="17" spans="1:5" x14ac:dyDescent="0.25">
      <c r="A17" s="1">
        <v>16</v>
      </c>
      <c r="B17" s="2">
        <v>13134661</v>
      </c>
      <c r="C17" s="1" t="s">
        <v>204</v>
      </c>
      <c r="D17" s="1" t="s">
        <v>778</v>
      </c>
      <c r="E17" s="1" t="s">
        <v>198</v>
      </c>
    </row>
    <row r="18" spans="1:5" x14ac:dyDescent="0.25">
      <c r="A18" s="1">
        <v>17</v>
      </c>
      <c r="B18" s="2" t="s">
        <v>205</v>
      </c>
      <c r="C18" s="1" t="s">
        <v>206</v>
      </c>
      <c r="D18" s="1" t="s">
        <v>793</v>
      </c>
      <c r="E18" s="1" t="s">
        <v>198</v>
      </c>
    </row>
    <row r="19" spans="1:5" x14ac:dyDescent="0.25">
      <c r="A19" s="1">
        <v>18</v>
      </c>
      <c r="B19" s="2">
        <v>14275556</v>
      </c>
      <c r="C19" s="1" t="s">
        <v>207</v>
      </c>
      <c r="D19" s="1" t="s">
        <v>764</v>
      </c>
      <c r="E19" s="1" t="s">
        <v>198</v>
      </c>
    </row>
    <row r="20" spans="1:5" x14ac:dyDescent="0.25">
      <c r="A20" s="1">
        <v>19</v>
      </c>
      <c r="B20" s="2" t="s">
        <v>208</v>
      </c>
      <c r="C20" s="1" t="s">
        <v>209</v>
      </c>
      <c r="D20" s="1" t="s">
        <v>794</v>
      </c>
      <c r="E20" s="1" t="s">
        <v>210</v>
      </c>
    </row>
    <row r="21" spans="1:5" x14ac:dyDescent="0.25">
      <c r="A21" s="1">
        <v>20</v>
      </c>
      <c r="B21" s="2" t="s">
        <v>211</v>
      </c>
      <c r="C21" s="1" t="s">
        <v>212</v>
      </c>
      <c r="D21" s="1" t="s">
        <v>779</v>
      </c>
      <c r="E21" s="1" t="s">
        <v>210</v>
      </c>
    </row>
    <row r="22" spans="1:5" x14ac:dyDescent="0.25">
      <c r="A22" s="1">
        <v>21</v>
      </c>
      <c r="B22" s="2" t="s">
        <v>213</v>
      </c>
      <c r="C22" s="1"/>
      <c r="D22" s="1" t="s">
        <v>764</v>
      </c>
      <c r="E22" s="1" t="s">
        <v>137</v>
      </c>
    </row>
    <row r="23" spans="1:5" x14ac:dyDescent="0.25">
      <c r="A23" s="1">
        <v>22</v>
      </c>
      <c r="B23" s="2">
        <v>13128330</v>
      </c>
      <c r="C23" s="1" t="s">
        <v>214</v>
      </c>
      <c r="D23" s="1" t="s">
        <v>764</v>
      </c>
      <c r="E23" s="1" t="s">
        <v>137</v>
      </c>
    </row>
    <row r="24" spans="1:5" x14ac:dyDescent="0.25">
      <c r="A24" s="1">
        <v>23</v>
      </c>
      <c r="B24" s="2">
        <v>13128003</v>
      </c>
      <c r="C24" s="1" t="s">
        <v>214</v>
      </c>
      <c r="D24" s="1" t="s">
        <v>764</v>
      </c>
      <c r="E24" s="1" t="s">
        <v>137</v>
      </c>
    </row>
    <row r="25" spans="1:5" x14ac:dyDescent="0.25">
      <c r="A25" s="1">
        <v>24</v>
      </c>
      <c r="B25" s="2">
        <v>13132673</v>
      </c>
      <c r="C25" s="1" t="s">
        <v>214</v>
      </c>
      <c r="D25" s="1" t="s">
        <v>764</v>
      </c>
      <c r="E25" s="1" t="s">
        <v>137</v>
      </c>
    </row>
    <row r="26" spans="1:5" x14ac:dyDescent="0.25">
      <c r="A26" s="1">
        <v>25</v>
      </c>
      <c r="B26" s="2">
        <v>13128275</v>
      </c>
      <c r="C26" s="1" t="s">
        <v>215</v>
      </c>
      <c r="D26" s="1" t="s">
        <v>764</v>
      </c>
      <c r="E26" s="1" t="s">
        <v>137</v>
      </c>
    </row>
    <row r="27" spans="1:5" x14ac:dyDescent="0.25">
      <c r="A27" s="1">
        <v>26</v>
      </c>
      <c r="B27" s="2">
        <v>13128130</v>
      </c>
      <c r="C27" s="1" t="s">
        <v>214</v>
      </c>
      <c r="D27" s="1" t="s">
        <v>764</v>
      </c>
      <c r="E27" s="1" t="s">
        <v>137</v>
      </c>
    </row>
    <row r="28" spans="1:5" x14ac:dyDescent="0.25">
      <c r="A28" s="1">
        <v>27</v>
      </c>
      <c r="B28" s="2">
        <v>13128127</v>
      </c>
      <c r="C28" s="1" t="s">
        <v>215</v>
      </c>
      <c r="D28" s="1" t="s">
        <v>764</v>
      </c>
      <c r="E28" s="1" t="s">
        <v>137</v>
      </c>
    </row>
    <row r="29" spans="1:5" x14ac:dyDescent="0.25">
      <c r="A29" s="1">
        <v>28</v>
      </c>
      <c r="B29" s="2">
        <v>13128005</v>
      </c>
      <c r="C29" s="1" t="s">
        <v>216</v>
      </c>
      <c r="D29" s="1" t="s">
        <v>764</v>
      </c>
      <c r="E29" s="1" t="s">
        <v>137</v>
      </c>
    </row>
    <row r="30" spans="1:5" x14ac:dyDescent="0.25">
      <c r="A30" s="1">
        <v>29</v>
      </c>
      <c r="B30" s="2">
        <v>13128177</v>
      </c>
      <c r="C30" s="1" t="s">
        <v>216</v>
      </c>
      <c r="D30" s="1" t="s">
        <v>764</v>
      </c>
      <c r="E30" s="1" t="s">
        <v>137</v>
      </c>
    </row>
    <row r="31" spans="1:5" x14ac:dyDescent="0.25">
      <c r="A31" s="1">
        <v>30</v>
      </c>
      <c r="B31" s="2">
        <v>13128999</v>
      </c>
      <c r="C31" s="1" t="s">
        <v>214</v>
      </c>
      <c r="D31" s="1" t="s">
        <v>764</v>
      </c>
      <c r="E31" s="1" t="s">
        <v>137</v>
      </c>
    </row>
    <row r="32" spans="1:5" x14ac:dyDescent="0.25">
      <c r="A32" s="1">
        <v>31</v>
      </c>
      <c r="B32" s="2">
        <v>13128173</v>
      </c>
      <c r="C32" s="1" t="s">
        <v>217</v>
      </c>
      <c r="D32" s="1" t="s">
        <v>764</v>
      </c>
      <c r="E32" s="1" t="s">
        <v>137</v>
      </c>
    </row>
    <row r="33" spans="1:5" x14ac:dyDescent="0.25">
      <c r="A33" s="1">
        <v>32</v>
      </c>
      <c r="B33" s="2">
        <v>13132668</v>
      </c>
      <c r="C33" s="1" t="s">
        <v>218</v>
      </c>
      <c r="D33" s="1" t="s">
        <v>764</v>
      </c>
      <c r="E33" s="1" t="s">
        <v>137</v>
      </c>
    </row>
    <row r="34" spans="1:5" x14ac:dyDescent="0.25">
      <c r="A34" s="1">
        <v>33</v>
      </c>
      <c r="B34" s="2">
        <v>13183495</v>
      </c>
      <c r="C34" s="1" t="s">
        <v>214</v>
      </c>
      <c r="D34" s="1" t="s">
        <v>764</v>
      </c>
      <c r="E34" s="1" t="s">
        <v>137</v>
      </c>
    </row>
    <row r="35" spans="1:5" x14ac:dyDescent="0.25">
      <c r="A35" s="1">
        <v>34</v>
      </c>
      <c r="B35" s="2">
        <v>13128131</v>
      </c>
      <c r="C35" s="1" t="s">
        <v>218</v>
      </c>
      <c r="D35" s="1" t="s">
        <v>764</v>
      </c>
      <c r="E35" s="1" t="s">
        <v>137</v>
      </c>
    </row>
    <row r="36" spans="1:5" x14ac:dyDescent="0.25">
      <c r="A36" s="1">
        <v>35</v>
      </c>
      <c r="B36" s="2">
        <v>13183496</v>
      </c>
      <c r="C36" s="1" t="s">
        <v>216</v>
      </c>
      <c r="D36" s="1" t="s">
        <v>764</v>
      </c>
      <c r="E36" s="1" t="s">
        <v>137</v>
      </c>
    </row>
    <row r="37" spans="1:5" x14ac:dyDescent="0.25">
      <c r="A37" s="1">
        <v>36</v>
      </c>
      <c r="B37" s="2">
        <v>13132672</v>
      </c>
      <c r="C37" s="1" t="s">
        <v>219</v>
      </c>
      <c r="D37" s="1" t="s">
        <v>764</v>
      </c>
      <c r="E37" s="1" t="s">
        <v>137</v>
      </c>
    </row>
    <row r="38" spans="1:5" x14ac:dyDescent="0.25">
      <c r="A38" s="1">
        <v>37</v>
      </c>
      <c r="B38" s="2">
        <v>13183501</v>
      </c>
      <c r="C38" s="1" t="s">
        <v>215</v>
      </c>
      <c r="D38" s="1" t="s">
        <v>764</v>
      </c>
      <c r="E38" s="1" t="s">
        <v>137</v>
      </c>
    </row>
    <row r="39" spans="1:5" x14ac:dyDescent="0.25">
      <c r="A39" s="1">
        <v>38</v>
      </c>
      <c r="B39" s="2">
        <v>13128352</v>
      </c>
      <c r="C39" s="1" t="s">
        <v>218</v>
      </c>
      <c r="D39" s="1" t="s">
        <v>764</v>
      </c>
      <c r="E39" s="1" t="s">
        <v>137</v>
      </c>
    </row>
    <row r="40" spans="1:5" x14ac:dyDescent="0.25">
      <c r="A40" s="1">
        <v>39</v>
      </c>
      <c r="B40" s="2" t="s">
        <v>220</v>
      </c>
      <c r="C40" s="1" t="s">
        <v>221</v>
      </c>
      <c r="D40" s="1" t="s">
        <v>795</v>
      </c>
      <c r="E40" s="1" t="s">
        <v>137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9E9D-E5E7-435B-B7E0-BA7182540E61}">
  <dimension ref="A1:E6"/>
  <sheetViews>
    <sheetView workbookViewId="0">
      <selection activeCell="B2" sqref="B2:E6"/>
    </sheetView>
  </sheetViews>
  <sheetFormatPr defaultRowHeight="15" x14ac:dyDescent="0.25"/>
  <cols>
    <col min="2" max="2" width="17.42578125" bestFit="1" customWidth="1"/>
    <col min="3" max="3" width="17" bestFit="1" customWidth="1"/>
    <col min="4" max="4" width="9.85546875" bestFit="1" customWidth="1"/>
    <col min="5" max="5" width="10" bestFit="1" customWidth="1"/>
  </cols>
  <sheetData>
    <row r="1" spans="1:5" x14ac:dyDescent="0.25">
      <c r="A1" s="3" t="s">
        <v>25</v>
      </c>
      <c r="B1" s="3" t="s">
        <v>27</v>
      </c>
      <c r="C1" s="3" t="s">
        <v>28</v>
      </c>
      <c r="D1" s="3" t="s">
        <v>30</v>
      </c>
      <c r="E1" s="3" t="s">
        <v>35</v>
      </c>
    </row>
    <row r="2" spans="1:5" x14ac:dyDescent="0.25">
      <c r="A2" s="1">
        <v>1</v>
      </c>
      <c r="B2" s="1">
        <v>12915035153</v>
      </c>
      <c r="C2" s="1" t="s">
        <v>189</v>
      </c>
      <c r="D2" s="1" t="s">
        <v>790</v>
      </c>
      <c r="E2" s="1" t="s">
        <v>222</v>
      </c>
    </row>
    <row r="3" spans="1:5" x14ac:dyDescent="0.25">
      <c r="A3" s="1">
        <v>2</v>
      </c>
      <c r="B3" s="1" t="s">
        <v>224</v>
      </c>
      <c r="C3" s="1" t="s">
        <v>178</v>
      </c>
      <c r="D3" s="1" t="s">
        <v>796</v>
      </c>
      <c r="E3" s="1" t="s">
        <v>222</v>
      </c>
    </row>
    <row r="4" spans="1:5" x14ac:dyDescent="0.25">
      <c r="A4" s="1">
        <v>3</v>
      </c>
      <c r="B4" s="1" t="s">
        <v>225</v>
      </c>
      <c r="C4" s="1" t="s">
        <v>226</v>
      </c>
      <c r="D4" s="1" t="s">
        <v>790</v>
      </c>
      <c r="E4" s="1" t="s">
        <v>222</v>
      </c>
    </row>
    <row r="5" spans="1:5" x14ac:dyDescent="0.25">
      <c r="A5" s="1">
        <v>4</v>
      </c>
      <c r="B5" s="1" t="s">
        <v>227</v>
      </c>
      <c r="C5" s="1" t="s">
        <v>192</v>
      </c>
      <c r="D5" s="1" t="s">
        <v>790</v>
      </c>
      <c r="E5" s="1" t="s">
        <v>222</v>
      </c>
    </row>
    <row r="6" spans="1:5" x14ac:dyDescent="0.25">
      <c r="A6" s="1">
        <v>5</v>
      </c>
      <c r="B6" s="1">
        <v>1290055800</v>
      </c>
      <c r="C6" s="1" t="s">
        <v>192</v>
      </c>
      <c r="D6" s="1" t="s">
        <v>790</v>
      </c>
      <c r="E6" s="1" t="s">
        <v>222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9065-F16A-482C-8FE2-48010E347CCD}">
  <dimension ref="A1:E6"/>
  <sheetViews>
    <sheetView workbookViewId="0">
      <selection activeCell="B2" sqref="B2:E6"/>
    </sheetView>
  </sheetViews>
  <sheetFormatPr defaultRowHeight="15" x14ac:dyDescent="0.25"/>
  <cols>
    <col min="2" max="2" width="16" customWidth="1"/>
    <col min="3" max="3" width="15.7109375" bestFit="1" customWidth="1"/>
    <col min="4" max="4" width="11" customWidth="1"/>
    <col min="5" max="5" width="11.28515625" customWidth="1"/>
  </cols>
  <sheetData>
    <row r="1" spans="1:5" x14ac:dyDescent="0.25">
      <c r="A1" s="3" t="s">
        <v>25</v>
      </c>
      <c r="B1" s="3" t="s">
        <v>27</v>
      </c>
      <c r="C1" s="3" t="s">
        <v>28</v>
      </c>
      <c r="D1" s="3" t="s">
        <v>30</v>
      </c>
      <c r="E1" s="3" t="s">
        <v>35</v>
      </c>
    </row>
    <row r="2" spans="1:5" x14ac:dyDescent="0.25">
      <c r="A2" s="1">
        <v>1</v>
      </c>
      <c r="B2" s="1">
        <v>304019000</v>
      </c>
      <c r="C2" s="1" t="s">
        <v>261</v>
      </c>
      <c r="D2" s="1" t="s">
        <v>773</v>
      </c>
      <c r="E2" s="1" t="s">
        <v>276</v>
      </c>
    </row>
    <row r="3" spans="1:5" x14ac:dyDescent="0.25">
      <c r="A3" s="1">
        <v>2</v>
      </c>
      <c r="B3" s="1">
        <v>392242000</v>
      </c>
      <c r="C3" s="1" t="s">
        <v>278</v>
      </c>
      <c r="D3" s="1" t="s">
        <v>764</v>
      </c>
      <c r="E3" s="1" t="s">
        <v>276</v>
      </c>
    </row>
    <row r="4" spans="1:5" x14ac:dyDescent="0.25">
      <c r="A4" s="1">
        <v>3</v>
      </c>
      <c r="B4" s="1" t="s">
        <v>279</v>
      </c>
      <c r="C4" s="1" t="s">
        <v>280</v>
      </c>
      <c r="D4" s="1" t="s">
        <v>769</v>
      </c>
      <c r="E4" s="1" t="s">
        <v>276</v>
      </c>
    </row>
    <row r="5" spans="1:5" x14ac:dyDescent="0.25">
      <c r="A5" s="1">
        <v>4</v>
      </c>
      <c r="B5" s="1">
        <v>4811704000</v>
      </c>
      <c r="C5" s="1" t="s">
        <v>278</v>
      </c>
      <c r="D5" s="1" t="s">
        <v>764</v>
      </c>
      <c r="E5" s="1" t="s">
        <v>276</v>
      </c>
    </row>
    <row r="6" spans="1:5" x14ac:dyDescent="0.25">
      <c r="A6" s="1">
        <v>5</v>
      </c>
      <c r="B6" s="1" t="s">
        <v>282</v>
      </c>
      <c r="C6" s="1" t="s">
        <v>283</v>
      </c>
      <c r="D6" s="1" t="s">
        <v>764</v>
      </c>
      <c r="E6" s="1" t="s">
        <v>276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3BC0-5B47-4AD2-AE2B-BA0875A883A0}">
  <dimension ref="A1:E35"/>
  <sheetViews>
    <sheetView workbookViewId="0">
      <selection activeCell="F5" sqref="F5"/>
    </sheetView>
  </sheetViews>
  <sheetFormatPr defaultRowHeight="15" x14ac:dyDescent="0.25"/>
  <cols>
    <col min="2" max="2" width="17.140625" customWidth="1"/>
    <col min="3" max="3" width="24.28515625" bestFit="1" customWidth="1"/>
    <col min="4" max="4" width="11.7109375" customWidth="1"/>
    <col min="5" max="5" width="11.5703125" customWidth="1"/>
  </cols>
  <sheetData>
    <row r="1" spans="1:5" ht="25.5" customHeight="1" x14ac:dyDescent="0.25">
      <c r="A1" s="3" t="s">
        <v>25</v>
      </c>
      <c r="B1" s="3" t="s">
        <v>27</v>
      </c>
      <c r="C1" s="3" t="s">
        <v>28</v>
      </c>
      <c r="D1" s="3" t="s">
        <v>30</v>
      </c>
      <c r="E1" s="3" t="s">
        <v>35</v>
      </c>
    </row>
    <row r="2" spans="1:5" x14ac:dyDescent="0.25">
      <c r="A2" s="1">
        <v>1</v>
      </c>
      <c r="B2" s="2">
        <v>931590044100</v>
      </c>
      <c r="C2" s="1" t="s">
        <v>284</v>
      </c>
      <c r="D2" s="1" t="s">
        <v>790</v>
      </c>
      <c r="E2" s="1" t="s">
        <v>285</v>
      </c>
    </row>
    <row r="3" spans="1:5" x14ac:dyDescent="0.25">
      <c r="A3" s="1">
        <v>2</v>
      </c>
      <c r="B3" s="2" t="s">
        <v>287</v>
      </c>
      <c r="C3" s="1" t="s">
        <v>288</v>
      </c>
      <c r="D3" s="1" t="s">
        <v>764</v>
      </c>
      <c r="E3" s="1" t="s">
        <v>285</v>
      </c>
    </row>
    <row r="4" spans="1:5" x14ac:dyDescent="0.25">
      <c r="A4" s="1">
        <v>3</v>
      </c>
      <c r="B4" s="2">
        <v>931590022000</v>
      </c>
      <c r="C4" s="1" t="s">
        <v>290</v>
      </c>
      <c r="D4" s="1" t="s">
        <v>769</v>
      </c>
      <c r="E4" s="1" t="s">
        <v>285</v>
      </c>
    </row>
    <row r="5" spans="1:5" x14ac:dyDescent="0.25">
      <c r="A5" s="1">
        <v>4</v>
      </c>
      <c r="B5" s="2">
        <v>931590014700</v>
      </c>
      <c r="C5" s="1" t="s">
        <v>292</v>
      </c>
      <c r="D5" s="1" t="s">
        <v>797</v>
      </c>
      <c r="E5" s="1" t="s">
        <v>285</v>
      </c>
    </row>
    <row r="6" spans="1:5" x14ac:dyDescent="0.25">
      <c r="A6" s="1">
        <v>5</v>
      </c>
      <c r="B6" s="2">
        <v>922100000200</v>
      </c>
      <c r="C6" s="1" t="s">
        <v>293</v>
      </c>
      <c r="D6" s="1" t="s">
        <v>779</v>
      </c>
      <c r="E6" s="1" t="s">
        <v>285</v>
      </c>
    </row>
    <row r="7" spans="1:5" x14ac:dyDescent="0.25">
      <c r="A7" s="1">
        <v>6</v>
      </c>
      <c r="B7" s="2" t="s">
        <v>798</v>
      </c>
      <c r="C7" s="1" t="s">
        <v>255</v>
      </c>
      <c r="D7" s="1" t="s">
        <v>769</v>
      </c>
      <c r="E7" s="1" t="s">
        <v>285</v>
      </c>
    </row>
    <row r="8" spans="1:5" x14ac:dyDescent="0.25">
      <c r="A8" s="1">
        <v>7</v>
      </c>
      <c r="B8" s="2">
        <v>931590014500</v>
      </c>
      <c r="C8" s="1" t="s">
        <v>799</v>
      </c>
      <c r="D8" s="1" t="s">
        <v>800</v>
      </c>
      <c r="E8" s="1" t="s">
        <v>285</v>
      </c>
    </row>
    <row r="9" spans="1:5" x14ac:dyDescent="0.25">
      <c r="A9" s="1">
        <v>8</v>
      </c>
      <c r="B9" s="2">
        <v>101247101014</v>
      </c>
      <c r="C9" s="1" t="s">
        <v>299</v>
      </c>
      <c r="D9" s="1" t="s">
        <v>764</v>
      </c>
      <c r="E9" s="1" t="s">
        <v>285</v>
      </c>
    </row>
    <row r="10" spans="1:5" x14ac:dyDescent="0.25">
      <c r="A10" s="1">
        <v>9</v>
      </c>
      <c r="B10" s="2">
        <v>929200002100</v>
      </c>
      <c r="C10" s="1" t="s">
        <v>301</v>
      </c>
      <c r="D10" s="1" t="s">
        <v>800</v>
      </c>
      <c r="E10" s="1" t="s">
        <v>285</v>
      </c>
    </row>
    <row r="11" spans="1:5" x14ac:dyDescent="0.25">
      <c r="A11" s="1">
        <v>10</v>
      </c>
      <c r="B11" s="2">
        <v>927000001600</v>
      </c>
      <c r="C11" s="1" t="s">
        <v>303</v>
      </c>
      <c r="D11" s="1" t="s">
        <v>769</v>
      </c>
      <c r="E11" s="1" t="s">
        <v>285</v>
      </c>
    </row>
    <row r="12" spans="1:5" x14ac:dyDescent="0.25">
      <c r="A12" s="1">
        <v>11</v>
      </c>
      <c r="B12" s="2">
        <v>931590044300</v>
      </c>
      <c r="C12" s="1" t="s">
        <v>304</v>
      </c>
      <c r="D12" s="1" t="s">
        <v>769</v>
      </c>
      <c r="E12" s="1" t="s">
        <v>285</v>
      </c>
    </row>
    <row r="13" spans="1:5" x14ac:dyDescent="0.25">
      <c r="A13" s="1">
        <v>12</v>
      </c>
      <c r="B13" s="2">
        <v>3363122838</v>
      </c>
      <c r="C13" s="1" t="s">
        <v>248</v>
      </c>
      <c r="D13" s="1" t="s">
        <v>769</v>
      </c>
      <c r="E13" s="1" t="s">
        <v>285</v>
      </c>
    </row>
    <row r="14" spans="1:5" x14ac:dyDescent="0.25">
      <c r="A14" s="1">
        <v>13</v>
      </c>
      <c r="B14" s="2">
        <v>931590021600</v>
      </c>
      <c r="C14" s="1" t="s">
        <v>305</v>
      </c>
      <c r="D14" s="1" t="s">
        <v>778</v>
      </c>
      <c r="E14" s="1" t="s">
        <v>285</v>
      </c>
    </row>
    <row r="15" spans="1:5" x14ac:dyDescent="0.25">
      <c r="A15" s="1">
        <v>14</v>
      </c>
      <c r="B15" s="2">
        <v>93159004420</v>
      </c>
      <c r="C15" s="1" t="s">
        <v>305</v>
      </c>
      <c r="D15" s="1" t="s">
        <v>790</v>
      </c>
      <c r="E15" s="1" t="s">
        <v>285</v>
      </c>
    </row>
    <row r="16" spans="1:5" x14ac:dyDescent="0.25">
      <c r="A16" s="1">
        <v>15</v>
      </c>
      <c r="B16" s="2">
        <v>931590021700</v>
      </c>
      <c r="C16" s="1" t="s">
        <v>248</v>
      </c>
      <c r="D16" s="1" t="s">
        <v>778</v>
      </c>
      <c r="E16" s="1" t="s">
        <v>285</v>
      </c>
    </row>
    <row r="17" spans="1:5" x14ac:dyDescent="0.25">
      <c r="A17" s="1">
        <v>16</v>
      </c>
      <c r="B17" s="2">
        <v>931590044400</v>
      </c>
      <c r="C17" s="1" t="s">
        <v>306</v>
      </c>
      <c r="D17" s="1" t="s">
        <v>764</v>
      </c>
      <c r="E17" s="1" t="s">
        <v>285</v>
      </c>
    </row>
    <row r="18" spans="1:5" x14ac:dyDescent="0.25">
      <c r="A18" s="1">
        <v>17</v>
      </c>
      <c r="B18" s="2">
        <v>101086100100</v>
      </c>
      <c r="C18" s="1" t="s">
        <v>308</v>
      </c>
      <c r="D18" s="1" t="s">
        <v>800</v>
      </c>
      <c r="E18" s="1" t="s">
        <v>309</v>
      </c>
    </row>
    <row r="19" spans="1:5" x14ac:dyDescent="0.25">
      <c r="A19" s="1">
        <v>18</v>
      </c>
      <c r="B19" s="2">
        <v>101393300200</v>
      </c>
      <c r="C19" s="1" t="s">
        <v>311</v>
      </c>
      <c r="D19" s="1" t="s">
        <v>769</v>
      </c>
      <c r="E19" s="1" t="s">
        <v>309</v>
      </c>
    </row>
    <row r="20" spans="1:5" x14ac:dyDescent="0.25">
      <c r="A20" s="1">
        <v>19</v>
      </c>
      <c r="B20" s="2">
        <v>101393300300</v>
      </c>
      <c r="C20" s="1" t="s">
        <v>312</v>
      </c>
      <c r="D20" s="1" t="s">
        <v>764</v>
      </c>
      <c r="E20" s="1" t="s">
        <v>309</v>
      </c>
    </row>
    <row r="21" spans="1:5" x14ac:dyDescent="0.25">
      <c r="A21" s="1">
        <v>20</v>
      </c>
      <c r="B21" s="2">
        <v>101393400500</v>
      </c>
      <c r="C21" s="1" t="s">
        <v>314</v>
      </c>
      <c r="D21" s="1" t="s">
        <v>800</v>
      </c>
      <c r="E21" s="1" t="s">
        <v>309</v>
      </c>
    </row>
    <row r="22" spans="1:5" x14ac:dyDescent="0.25">
      <c r="A22" s="1">
        <v>21</v>
      </c>
      <c r="B22" s="2">
        <v>955700000100</v>
      </c>
      <c r="C22" s="1" t="s">
        <v>315</v>
      </c>
      <c r="D22" s="1" t="s">
        <v>769</v>
      </c>
      <c r="E22" s="1" t="s">
        <v>309</v>
      </c>
    </row>
    <row r="23" spans="1:5" x14ac:dyDescent="0.25">
      <c r="A23" s="1">
        <v>22</v>
      </c>
      <c r="B23" s="2">
        <v>955910000800</v>
      </c>
      <c r="C23" s="1" t="s">
        <v>316</v>
      </c>
      <c r="D23" s="1" t="s">
        <v>764</v>
      </c>
      <c r="E23" s="1" t="s">
        <v>309</v>
      </c>
    </row>
    <row r="24" spans="1:5" x14ac:dyDescent="0.25">
      <c r="A24" s="1">
        <v>23</v>
      </c>
      <c r="B24" s="2">
        <v>101393400200</v>
      </c>
      <c r="C24" s="1" t="s">
        <v>317</v>
      </c>
      <c r="D24" s="1" t="s">
        <v>769</v>
      </c>
      <c r="E24" s="1" t="s">
        <v>309</v>
      </c>
    </row>
    <row r="25" spans="1:5" x14ac:dyDescent="0.25">
      <c r="A25" s="1">
        <v>24</v>
      </c>
      <c r="B25" s="2">
        <v>101026141100</v>
      </c>
      <c r="C25" s="1" t="s">
        <v>319</v>
      </c>
      <c r="D25" s="1" t="s">
        <v>769</v>
      </c>
      <c r="E25" s="1" t="s">
        <v>309</v>
      </c>
    </row>
    <row r="26" spans="1:5" x14ac:dyDescent="0.25">
      <c r="A26" s="1">
        <v>25</v>
      </c>
      <c r="B26" s="2">
        <v>10522428700</v>
      </c>
      <c r="C26" s="1" t="s">
        <v>320</v>
      </c>
      <c r="D26" s="1" t="s">
        <v>769</v>
      </c>
      <c r="E26" s="1" t="s">
        <v>321</v>
      </c>
    </row>
    <row r="27" spans="1:5" x14ac:dyDescent="0.25">
      <c r="A27" s="1">
        <v>26</v>
      </c>
      <c r="B27" s="2">
        <v>933100000500</v>
      </c>
      <c r="C27" s="1" t="s">
        <v>323</v>
      </c>
      <c r="D27" s="1" t="s">
        <v>800</v>
      </c>
      <c r="E27" s="1" t="s">
        <v>321</v>
      </c>
    </row>
    <row r="28" spans="1:5" x14ac:dyDescent="0.25">
      <c r="A28" s="1">
        <v>27</v>
      </c>
      <c r="B28" s="2">
        <v>933500001100</v>
      </c>
      <c r="C28" s="1" t="s">
        <v>325</v>
      </c>
      <c r="D28" s="1" t="s">
        <v>790</v>
      </c>
      <c r="E28" s="1" t="s">
        <v>321</v>
      </c>
    </row>
    <row r="29" spans="1:5" x14ac:dyDescent="0.25">
      <c r="A29" s="1">
        <v>28</v>
      </c>
      <c r="B29" s="2">
        <v>101393300600</v>
      </c>
      <c r="C29" s="1" t="s">
        <v>326</v>
      </c>
      <c r="D29" s="1" t="s">
        <v>769</v>
      </c>
      <c r="E29" s="1" t="s">
        <v>321</v>
      </c>
    </row>
    <row r="30" spans="1:5" x14ac:dyDescent="0.25">
      <c r="A30" s="1">
        <v>29</v>
      </c>
      <c r="B30" s="2">
        <v>101303300200</v>
      </c>
      <c r="C30" s="1" t="s">
        <v>326</v>
      </c>
      <c r="D30" s="1" t="s">
        <v>769</v>
      </c>
      <c r="E30" s="1" t="s">
        <v>321</v>
      </c>
    </row>
    <row r="31" spans="1:5" x14ac:dyDescent="0.25">
      <c r="A31" s="1">
        <v>30</v>
      </c>
      <c r="B31" s="2">
        <v>101521426500</v>
      </c>
      <c r="C31" s="1" t="s">
        <v>70</v>
      </c>
      <c r="D31" s="1" t="s">
        <v>769</v>
      </c>
      <c r="E31" s="1" t="s">
        <v>321</v>
      </c>
    </row>
    <row r="32" spans="1:5" x14ac:dyDescent="0.25">
      <c r="A32" s="1">
        <v>31</v>
      </c>
      <c r="B32" s="2" t="s">
        <v>328</v>
      </c>
      <c r="C32" s="1" t="s">
        <v>329</v>
      </c>
      <c r="D32" s="1" t="s">
        <v>764</v>
      </c>
      <c r="E32" s="1" t="s">
        <v>321</v>
      </c>
    </row>
    <row r="33" spans="1:5" x14ac:dyDescent="0.25">
      <c r="A33" s="1">
        <v>32</v>
      </c>
      <c r="B33" s="2"/>
      <c r="C33" s="1" t="s">
        <v>70</v>
      </c>
      <c r="D33" s="1" t="s">
        <v>764</v>
      </c>
      <c r="E33" s="1" t="s">
        <v>71</v>
      </c>
    </row>
    <row r="34" spans="1:5" x14ac:dyDescent="0.25">
      <c r="A34" s="1">
        <v>33</v>
      </c>
      <c r="B34" s="2"/>
      <c r="C34" s="1" t="s">
        <v>330</v>
      </c>
      <c r="D34" s="1" t="s">
        <v>769</v>
      </c>
      <c r="E34" s="1" t="s">
        <v>71</v>
      </c>
    </row>
    <row r="35" spans="1:5" x14ac:dyDescent="0.25">
      <c r="A35" s="1">
        <v>34</v>
      </c>
      <c r="B35" s="2">
        <v>101381425000</v>
      </c>
      <c r="C35" s="1" t="s">
        <v>331</v>
      </c>
      <c r="D35" s="1" t="s">
        <v>769</v>
      </c>
      <c r="E35" s="1" t="s">
        <v>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72F56-4BBB-41F4-B8D2-21D382B27579}">
  <sheetPr>
    <pageSetUpPr fitToPage="1"/>
  </sheetPr>
  <dimension ref="A2:E18"/>
  <sheetViews>
    <sheetView workbookViewId="0">
      <selection activeCell="F5" sqref="F5"/>
    </sheetView>
  </sheetViews>
  <sheetFormatPr defaultRowHeight="15" x14ac:dyDescent="0.25"/>
  <cols>
    <col min="1" max="1" width="8.28515625" customWidth="1"/>
    <col min="2" max="2" width="27.28515625" customWidth="1"/>
    <col min="3" max="3" width="29.5703125" customWidth="1"/>
    <col min="4" max="4" width="25.140625" customWidth="1"/>
    <col min="5" max="5" width="15.7109375" customWidth="1"/>
  </cols>
  <sheetData>
    <row r="2" spans="1:5" s="26" customFormat="1" ht="24" x14ac:dyDescent="0.4">
      <c r="A2" s="51" t="s">
        <v>801</v>
      </c>
      <c r="B2" s="51"/>
      <c r="C2" s="51"/>
      <c r="D2" s="51"/>
      <c r="E2" s="51"/>
    </row>
    <row r="3" spans="1:5" s="25" customFormat="1" ht="30" x14ac:dyDescent="0.25">
      <c r="A3" s="24" t="s">
        <v>802</v>
      </c>
      <c r="B3" s="24" t="s">
        <v>803</v>
      </c>
      <c r="C3" s="24" t="s">
        <v>804</v>
      </c>
      <c r="D3" s="24" t="s">
        <v>805</v>
      </c>
      <c r="E3" s="24" t="s">
        <v>806</v>
      </c>
    </row>
    <row r="4" spans="1:5" ht="31.15" customHeight="1" x14ac:dyDescent="0.25">
      <c r="A4" s="27"/>
      <c r="B4" s="27"/>
      <c r="C4" s="27"/>
      <c r="D4" s="27"/>
      <c r="E4" s="27"/>
    </row>
    <row r="5" spans="1:5" ht="31.15" customHeight="1" x14ac:dyDescent="0.25">
      <c r="A5" s="27"/>
      <c r="B5" s="27"/>
      <c r="C5" s="27"/>
      <c r="D5" s="27"/>
      <c r="E5" s="27"/>
    </row>
    <row r="6" spans="1:5" ht="31.15" customHeight="1" x14ac:dyDescent="0.25">
      <c r="A6" s="27"/>
      <c r="B6" s="27"/>
      <c r="C6" s="27"/>
      <c r="D6" s="27"/>
      <c r="E6" s="27"/>
    </row>
    <row r="7" spans="1:5" ht="31.15" customHeight="1" x14ac:dyDescent="0.25">
      <c r="A7" s="27"/>
      <c r="B7" s="27"/>
      <c r="C7" s="27"/>
      <c r="D7" s="27"/>
      <c r="E7" s="27"/>
    </row>
    <row r="8" spans="1:5" ht="31.15" customHeight="1" x14ac:dyDescent="0.25">
      <c r="A8" s="27"/>
      <c r="B8" s="27"/>
      <c r="C8" s="27"/>
      <c r="D8" s="27"/>
      <c r="E8" s="27"/>
    </row>
    <row r="9" spans="1:5" ht="31.15" customHeight="1" x14ac:dyDescent="0.25">
      <c r="A9" s="27"/>
      <c r="B9" s="27"/>
      <c r="C9" s="27"/>
      <c r="D9" s="27"/>
      <c r="E9" s="27"/>
    </row>
    <row r="10" spans="1:5" ht="31.15" customHeight="1" x14ac:dyDescent="0.25">
      <c r="A10" s="27"/>
      <c r="B10" s="27"/>
      <c r="C10" s="27"/>
      <c r="D10" s="27"/>
      <c r="E10" s="27"/>
    </row>
    <row r="11" spans="1:5" ht="31.15" customHeight="1" x14ac:dyDescent="0.25">
      <c r="A11" s="27"/>
      <c r="B11" s="27"/>
      <c r="C11" s="27"/>
      <c r="D11" s="27"/>
      <c r="E11" s="27"/>
    </row>
    <row r="12" spans="1:5" ht="31.15" customHeight="1" x14ac:dyDescent="0.25">
      <c r="A12" s="27"/>
      <c r="B12" s="27"/>
      <c r="C12" s="27"/>
      <c r="D12" s="27"/>
      <c r="E12" s="27"/>
    </row>
    <row r="13" spans="1:5" ht="31.15" customHeight="1" x14ac:dyDescent="0.25">
      <c r="A13" s="27"/>
      <c r="B13" s="27"/>
      <c r="C13" s="27"/>
      <c r="D13" s="27"/>
      <c r="E13" s="27"/>
    </row>
    <row r="14" spans="1:5" ht="31.15" customHeight="1" x14ac:dyDescent="0.25">
      <c r="A14" s="27"/>
      <c r="B14" s="27"/>
      <c r="C14" s="27"/>
      <c r="D14" s="27"/>
      <c r="E14" s="27"/>
    </row>
    <row r="15" spans="1:5" ht="31.15" customHeight="1" x14ac:dyDescent="0.25">
      <c r="A15" s="27"/>
      <c r="B15" s="27"/>
      <c r="C15" s="27"/>
      <c r="D15" s="27"/>
      <c r="E15" s="27"/>
    </row>
    <row r="16" spans="1:5" ht="31.15" customHeight="1" x14ac:dyDescent="0.25">
      <c r="A16" s="27"/>
      <c r="B16" s="27"/>
      <c r="C16" s="27"/>
      <c r="D16" s="27"/>
      <c r="E16" s="27"/>
    </row>
    <row r="17" spans="1:5" ht="31.15" customHeight="1" x14ac:dyDescent="0.25">
      <c r="A17" s="27"/>
      <c r="B17" s="27"/>
      <c r="C17" s="27"/>
      <c r="D17" s="27"/>
      <c r="E17" s="27"/>
    </row>
    <row r="18" spans="1:5" ht="31.15" customHeight="1" x14ac:dyDescent="0.25">
      <c r="A18" s="27"/>
      <c r="B18" s="27"/>
      <c r="C18" s="27"/>
      <c r="D18" s="27"/>
      <c r="E18" s="27"/>
    </row>
  </sheetData>
  <mergeCells count="1">
    <mergeCell ref="A2:E2"/>
  </mergeCells>
  <pageMargins left="0.7" right="0.7" top="0.75" bottom="0.75" header="0.3" footer="0.3"/>
  <pageSetup paperSize="9" scale="8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C419B-38FB-4074-81AA-2A5C32CA52A4}">
  <dimension ref="A1:E15"/>
  <sheetViews>
    <sheetView workbookViewId="0">
      <selection activeCell="F5" sqref="F5"/>
    </sheetView>
  </sheetViews>
  <sheetFormatPr defaultRowHeight="15" x14ac:dyDescent="0.25"/>
  <cols>
    <col min="2" max="2" width="15.85546875" bestFit="1" customWidth="1"/>
    <col min="3" max="3" width="19.85546875" bestFit="1" customWidth="1"/>
    <col min="4" max="4" width="12.140625" customWidth="1"/>
    <col min="5" max="5" width="10.85546875" customWidth="1"/>
  </cols>
  <sheetData>
    <row r="1" spans="1:5" x14ac:dyDescent="0.25">
      <c r="A1" s="3" t="s">
        <v>25</v>
      </c>
      <c r="B1" s="3" t="s">
        <v>27</v>
      </c>
      <c r="C1" s="3" t="s">
        <v>28</v>
      </c>
      <c r="D1" s="3" t="s">
        <v>30</v>
      </c>
      <c r="E1" s="3" t="s">
        <v>35</v>
      </c>
    </row>
    <row r="2" spans="1:5" x14ac:dyDescent="0.25">
      <c r="A2" s="1">
        <v>1</v>
      </c>
      <c r="B2" s="1">
        <v>105398086</v>
      </c>
      <c r="D2" s="1" t="s">
        <v>790</v>
      </c>
      <c r="E2" s="1" t="s">
        <v>332</v>
      </c>
    </row>
    <row r="3" spans="1:5" x14ac:dyDescent="0.25">
      <c r="A3" s="1">
        <v>2</v>
      </c>
      <c r="B3" s="1" t="s">
        <v>333</v>
      </c>
      <c r="D3" s="1" t="s">
        <v>764</v>
      </c>
      <c r="E3" s="1" t="s">
        <v>332</v>
      </c>
    </row>
    <row r="4" spans="1:5" x14ac:dyDescent="0.25">
      <c r="A4" s="1">
        <v>3</v>
      </c>
      <c r="B4" s="1">
        <v>706301210</v>
      </c>
      <c r="D4" s="1" t="s">
        <v>764</v>
      </c>
      <c r="E4" s="1" t="s">
        <v>332</v>
      </c>
    </row>
    <row r="5" spans="1:5" x14ac:dyDescent="0.25">
      <c r="A5" s="1">
        <v>4</v>
      </c>
      <c r="B5" s="1" t="s">
        <v>335</v>
      </c>
      <c r="D5" s="1" t="s">
        <v>790</v>
      </c>
      <c r="E5" s="1" t="s">
        <v>332</v>
      </c>
    </row>
    <row r="6" spans="1:5" x14ac:dyDescent="0.25">
      <c r="A6" s="1">
        <v>5</v>
      </c>
      <c r="B6" s="1" t="s">
        <v>337</v>
      </c>
      <c r="D6" s="1" t="s">
        <v>769</v>
      </c>
      <c r="E6" s="1" t="s">
        <v>332</v>
      </c>
    </row>
    <row r="7" spans="1:5" x14ac:dyDescent="0.25">
      <c r="A7" s="1">
        <v>6</v>
      </c>
      <c r="B7" s="1" t="s">
        <v>339</v>
      </c>
      <c r="D7" s="1" t="s">
        <v>764</v>
      </c>
      <c r="E7" s="1" t="s">
        <v>332</v>
      </c>
    </row>
    <row r="8" spans="1:5" x14ac:dyDescent="0.25">
      <c r="A8" s="1">
        <v>7</v>
      </c>
      <c r="B8" s="1" t="s">
        <v>341</v>
      </c>
      <c r="D8" s="1" t="s">
        <v>769</v>
      </c>
      <c r="E8" s="1" t="s">
        <v>332</v>
      </c>
    </row>
    <row r="9" spans="1:5" x14ac:dyDescent="0.25">
      <c r="A9" s="1">
        <v>8</v>
      </c>
      <c r="B9" s="1">
        <v>3363083371</v>
      </c>
      <c r="D9" s="1" t="s">
        <v>785</v>
      </c>
      <c r="E9" s="1" t="s">
        <v>332</v>
      </c>
    </row>
    <row r="10" spans="1:5" x14ac:dyDescent="0.25">
      <c r="A10" s="1">
        <v>9</v>
      </c>
      <c r="B10" s="1" t="s">
        <v>345</v>
      </c>
      <c r="D10" s="1" t="s">
        <v>785</v>
      </c>
      <c r="E10" s="1" t="s">
        <v>332</v>
      </c>
    </row>
    <row r="11" spans="1:5" x14ac:dyDescent="0.25">
      <c r="A11" s="1">
        <v>10</v>
      </c>
      <c r="B11" s="1" t="s">
        <v>348</v>
      </c>
      <c r="D11" s="1" t="s">
        <v>790</v>
      </c>
      <c r="E11" s="1" t="s">
        <v>332</v>
      </c>
    </row>
    <row r="12" spans="1:5" x14ac:dyDescent="0.25">
      <c r="A12" s="1">
        <v>11</v>
      </c>
      <c r="B12" s="1">
        <v>3360314375</v>
      </c>
      <c r="D12" s="1" t="s">
        <v>785</v>
      </c>
      <c r="E12" s="1" t="s">
        <v>332</v>
      </c>
    </row>
    <row r="13" spans="1:5" x14ac:dyDescent="0.25">
      <c r="A13" s="1">
        <v>12</v>
      </c>
      <c r="B13" s="1" t="s">
        <v>351</v>
      </c>
      <c r="D13" s="1" t="s">
        <v>807</v>
      </c>
      <c r="E13" s="1" t="s">
        <v>332</v>
      </c>
    </row>
    <row r="14" spans="1:5" x14ac:dyDescent="0.25">
      <c r="A14" s="1">
        <v>13</v>
      </c>
      <c r="B14" s="1" t="s">
        <v>353</v>
      </c>
      <c r="D14" s="1" t="s">
        <v>764</v>
      </c>
      <c r="E14" s="1" t="s">
        <v>332</v>
      </c>
    </row>
    <row r="15" spans="1:5" x14ac:dyDescent="0.25">
      <c r="A15" s="1">
        <v>14</v>
      </c>
      <c r="B15" s="1" t="s">
        <v>356</v>
      </c>
      <c r="D15" s="1" t="s">
        <v>764</v>
      </c>
      <c r="E15" s="1" t="s">
        <v>332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A4FB-E1DE-46D8-AB26-E02B7F2AE267}">
  <dimension ref="A1:D9"/>
  <sheetViews>
    <sheetView workbookViewId="0">
      <selection activeCell="F5" sqref="F5"/>
    </sheetView>
  </sheetViews>
  <sheetFormatPr defaultRowHeight="15" x14ac:dyDescent="0.25"/>
  <cols>
    <col min="2" max="2" width="15.7109375" bestFit="1" customWidth="1"/>
    <col min="3" max="3" width="18.5703125" customWidth="1"/>
    <col min="4" max="4" width="11.42578125" customWidth="1"/>
  </cols>
  <sheetData>
    <row r="1" spans="1:4" x14ac:dyDescent="0.25">
      <c r="A1" s="3" t="s">
        <v>25</v>
      </c>
      <c r="B1" s="3" t="s">
        <v>27</v>
      </c>
      <c r="C1" s="3" t="s">
        <v>28</v>
      </c>
      <c r="D1" s="3" t="s">
        <v>30</v>
      </c>
    </row>
    <row r="2" spans="1:4" x14ac:dyDescent="0.25">
      <c r="A2" s="1">
        <v>1</v>
      </c>
      <c r="B2" s="2">
        <v>253415406302</v>
      </c>
      <c r="C2" s="1" t="s">
        <v>359</v>
      </c>
      <c r="D2" s="1" t="s">
        <v>764</v>
      </c>
    </row>
    <row r="3" spans="1:4" x14ac:dyDescent="0.25">
      <c r="A3" s="1">
        <v>2</v>
      </c>
      <c r="B3" s="2">
        <v>570920156305</v>
      </c>
      <c r="C3" s="1" t="s">
        <v>361</v>
      </c>
      <c r="D3" s="1" t="s">
        <v>790</v>
      </c>
    </row>
    <row r="4" spans="1:4" x14ac:dyDescent="0.25">
      <c r="A4" s="1">
        <v>3</v>
      </c>
      <c r="B4" s="2">
        <v>412222584</v>
      </c>
      <c r="C4" s="1" t="s">
        <v>15</v>
      </c>
      <c r="D4" s="1" t="s">
        <v>790</v>
      </c>
    </row>
    <row r="5" spans="1:4" x14ac:dyDescent="0.25">
      <c r="A5" s="1">
        <v>4</v>
      </c>
      <c r="B5" s="2" t="s">
        <v>362</v>
      </c>
      <c r="C5" s="1" t="s">
        <v>363</v>
      </c>
      <c r="D5" s="1" t="s">
        <v>790</v>
      </c>
    </row>
    <row r="6" spans="1:4" x14ac:dyDescent="0.25">
      <c r="A6" s="1">
        <v>5</v>
      </c>
      <c r="B6" s="2">
        <v>412222289</v>
      </c>
      <c r="C6" s="1" t="s">
        <v>15</v>
      </c>
      <c r="D6" s="1" t="s">
        <v>778</v>
      </c>
    </row>
    <row r="7" spans="1:4" x14ac:dyDescent="0.25">
      <c r="A7" s="1">
        <v>6</v>
      </c>
      <c r="B7" s="2">
        <v>10042023820</v>
      </c>
      <c r="C7" s="1" t="s">
        <v>15</v>
      </c>
      <c r="D7" s="1" t="s">
        <v>764</v>
      </c>
    </row>
    <row r="8" spans="1:4" x14ac:dyDescent="0.25">
      <c r="A8" s="1">
        <v>7</v>
      </c>
      <c r="B8" s="2" t="s">
        <v>366</v>
      </c>
      <c r="C8" s="1" t="s">
        <v>15</v>
      </c>
      <c r="D8" s="1" t="s">
        <v>769</v>
      </c>
    </row>
    <row r="9" spans="1:4" x14ac:dyDescent="0.25">
      <c r="A9" s="1">
        <v>8</v>
      </c>
      <c r="B9" s="2" t="s">
        <v>368</v>
      </c>
      <c r="C9" s="1" t="s">
        <v>15</v>
      </c>
      <c r="D9" s="1" t="s">
        <v>764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4EFC-CE1C-4D53-9FA5-D7C59930DF2E}">
  <dimension ref="A1:E19"/>
  <sheetViews>
    <sheetView topLeftCell="A4" workbookViewId="0">
      <selection activeCell="F5" sqref="F5"/>
    </sheetView>
  </sheetViews>
  <sheetFormatPr defaultRowHeight="15" x14ac:dyDescent="0.25"/>
  <cols>
    <col min="1" max="1" width="7" bestFit="1" customWidth="1"/>
    <col min="2" max="2" width="17" bestFit="1" customWidth="1"/>
    <col min="3" max="3" width="26.28515625" bestFit="1" customWidth="1"/>
    <col min="4" max="4" width="11.140625" customWidth="1"/>
    <col min="5" max="5" width="12.140625" customWidth="1"/>
  </cols>
  <sheetData>
    <row r="1" spans="1:5" x14ac:dyDescent="0.25">
      <c r="A1" s="3" t="s">
        <v>25</v>
      </c>
      <c r="B1" s="3" t="s">
        <v>27</v>
      </c>
      <c r="C1" s="3" t="s">
        <v>28</v>
      </c>
      <c r="D1" s="3" t="s">
        <v>30</v>
      </c>
      <c r="E1" s="3" t="s">
        <v>35</v>
      </c>
    </row>
    <row r="2" spans="1:5" x14ac:dyDescent="0.25">
      <c r="A2" s="4">
        <v>1</v>
      </c>
      <c r="B2" s="2" t="s">
        <v>369</v>
      </c>
      <c r="C2" s="1" t="s">
        <v>808</v>
      </c>
      <c r="D2" s="1" t="s">
        <v>809</v>
      </c>
      <c r="E2" s="1" t="s">
        <v>371</v>
      </c>
    </row>
    <row r="3" spans="1:5" x14ac:dyDescent="0.25">
      <c r="A3" s="4">
        <v>2</v>
      </c>
      <c r="B3" s="2" t="s">
        <v>372</v>
      </c>
      <c r="C3" s="1" t="s">
        <v>373</v>
      </c>
      <c r="D3" s="1" t="s">
        <v>810</v>
      </c>
      <c r="E3" s="1" t="s">
        <v>371</v>
      </c>
    </row>
    <row r="4" spans="1:5" x14ac:dyDescent="0.25">
      <c r="A4" s="4">
        <v>3</v>
      </c>
      <c r="B4" s="2">
        <v>7018</v>
      </c>
      <c r="C4" s="1" t="s">
        <v>811</v>
      </c>
      <c r="D4" s="1" t="s">
        <v>812</v>
      </c>
      <c r="E4" s="1" t="s">
        <v>371</v>
      </c>
    </row>
    <row r="5" spans="1:5" x14ac:dyDescent="0.25">
      <c r="A5" s="4">
        <v>4</v>
      </c>
      <c r="B5" s="2">
        <v>7018</v>
      </c>
      <c r="C5" s="1" t="s">
        <v>375</v>
      </c>
      <c r="D5" s="1" t="s">
        <v>813</v>
      </c>
      <c r="E5" s="1" t="s">
        <v>371</v>
      </c>
    </row>
    <row r="6" spans="1:5" x14ac:dyDescent="0.25">
      <c r="A6" s="4">
        <v>5</v>
      </c>
      <c r="B6" s="2"/>
      <c r="C6" s="1" t="s">
        <v>376</v>
      </c>
      <c r="D6" s="1" t="s">
        <v>814</v>
      </c>
      <c r="E6" s="1" t="s">
        <v>377</v>
      </c>
    </row>
    <row r="7" spans="1:5" x14ac:dyDescent="0.25">
      <c r="A7" s="4">
        <v>6</v>
      </c>
      <c r="B7" s="2">
        <v>2608621839</v>
      </c>
      <c r="C7" s="1" t="s">
        <v>378</v>
      </c>
      <c r="D7" s="1">
        <v>73</v>
      </c>
      <c r="E7" s="1" t="s">
        <v>377</v>
      </c>
    </row>
    <row r="8" spans="1:5" x14ac:dyDescent="0.25">
      <c r="A8" s="4">
        <v>7</v>
      </c>
      <c r="B8" s="2">
        <v>7025003232</v>
      </c>
      <c r="C8" s="1" t="s">
        <v>379</v>
      </c>
      <c r="D8" s="1">
        <v>250</v>
      </c>
      <c r="E8" s="1" t="s">
        <v>377</v>
      </c>
    </row>
    <row r="9" spans="1:5" x14ac:dyDescent="0.25">
      <c r="A9" s="4">
        <v>8</v>
      </c>
      <c r="B9" s="2" t="s">
        <v>380</v>
      </c>
      <c r="C9" s="1" t="s">
        <v>381</v>
      </c>
      <c r="D9" s="1">
        <v>50</v>
      </c>
      <c r="E9" s="1" t="s">
        <v>377</v>
      </c>
    </row>
    <row r="10" spans="1:5" x14ac:dyDescent="0.25">
      <c r="A10" s="4">
        <v>9</v>
      </c>
      <c r="B10" s="2">
        <v>7613023978824</v>
      </c>
      <c r="C10" s="1" t="s">
        <v>382</v>
      </c>
      <c r="D10" s="1" t="s">
        <v>815</v>
      </c>
      <c r="E10" s="1" t="s">
        <v>377</v>
      </c>
    </row>
    <row r="11" spans="1:5" x14ac:dyDescent="0.25">
      <c r="A11" s="4">
        <v>10</v>
      </c>
      <c r="B11" s="2">
        <v>7025001913</v>
      </c>
      <c r="C11" s="1" t="s">
        <v>383</v>
      </c>
      <c r="D11" s="1" t="s">
        <v>816</v>
      </c>
      <c r="E11" s="1" t="s">
        <v>377</v>
      </c>
    </row>
    <row r="12" spans="1:5" x14ac:dyDescent="0.25">
      <c r="A12" s="4">
        <v>11</v>
      </c>
      <c r="B12" s="2">
        <v>2608619377</v>
      </c>
      <c r="C12" s="1" t="s">
        <v>384</v>
      </c>
      <c r="D12" s="1" t="s">
        <v>817</v>
      </c>
      <c r="E12" s="1" t="s">
        <v>73</v>
      </c>
    </row>
    <row r="13" spans="1:5" x14ac:dyDescent="0.25">
      <c r="A13" s="4">
        <v>12</v>
      </c>
      <c r="B13" s="2">
        <v>512060010201</v>
      </c>
      <c r="C13" s="1" t="s">
        <v>385</v>
      </c>
      <c r="D13" s="1" t="s">
        <v>767</v>
      </c>
      <c r="E13" s="1" t="s">
        <v>73</v>
      </c>
    </row>
    <row r="14" spans="1:5" x14ac:dyDescent="0.25">
      <c r="A14" s="4">
        <v>13</v>
      </c>
      <c r="B14" s="2">
        <v>1300100376</v>
      </c>
      <c r="C14" s="1" t="s">
        <v>386</v>
      </c>
      <c r="D14" s="1" t="s">
        <v>818</v>
      </c>
      <c r="E14" s="1" t="s">
        <v>73</v>
      </c>
    </row>
    <row r="15" spans="1:5" x14ac:dyDescent="0.25">
      <c r="A15" s="4">
        <v>14</v>
      </c>
      <c r="B15" s="2">
        <v>463720</v>
      </c>
      <c r="C15" s="1" t="s">
        <v>386</v>
      </c>
      <c r="D15" s="1" t="s">
        <v>819</v>
      </c>
      <c r="E15" s="1" t="s">
        <v>73</v>
      </c>
    </row>
    <row r="16" spans="1:5" x14ac:dyDescent="0.25">
      <c r="A16" s="4">
        <v>15</v>
      </c>
      <c r="B16" s="4"/>
      <c r="C16" s="1" t="s">
        <v>387</v>
      </c>
      <c r="D16" s="1" t="s">
        <v>769</v>
      </c>
      <c r="E16" s="1" t="s">
        <v>388</v>
      </c>
    </row>
    <row r="17" spans="1:5" x14ac:dyDescent="0.25">
      <c r="A17" s="4">
        <v>16</v>
      </c>
      <c r="B17" s="4"/>
      <c r="C17" s="1" t="s">
        <v>389</v>
      </c>
      <c r="D17" s="1" t="s">
        <v>769</v>
      </c>
      <c r="E17" s="1" t="s">
        <v>388</v>
      </c>
    </row>
    <row r="18" spans="1:5" x14ac:dyDescent="0.25">
      <c r="A18" s="4">
        <v>17</v>
      </c>
      <c r="B18" s="4"/>
      <c r="C18" s="1" t="s">
        <v>390</v>
      </c>
      <c r="D18" s="1" t="s">
        <v>764</v>
      </c>
      <c r="E18" s="1" t="s">
        <v>388</v>
      </c>
    </row>
    <row r="19" spans="1:5" x14ac:dyDescent="0.25">
      <c r="A19" s="4">
        <v>18</v>
      </c>
      <c r="B19" s="4"/>
      <c r="C19" s="1" t="s">
        <v>391</v>
      </c>
      <c r="D19" s="1" t="s">
        <v>769</v>
      </c>
      <c r="E19" s="1"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Pivot</vt:lpstr>
      <vt:lpstr>Inventory</vt:lpstr>
      <vt:lpstr>TOOLS </vt:lpstr>
      <vt:lpstr>MISCLLANEOUS</vt:lpstr>
      <vt:lpstr>BREAKER</vt:lpstr>
      <vt:lpstr>SANY 300T</vt:lpstr>
      <vt:lpstr>CHERRY PICKER</vt:lpstr>
      <vt:lpstr>KRILOSKER</vt:lpstr>
      <vt:lpstr>HYDRA</vt:lpstr>
      <vt:lpstr>Sheet3</vt:lpstr>
      <vt:lpstr>WATER TANKER</vt:lpstr>
      <vt:lpstr>FAN BELT</vt:lpstr>
      <vt:lpstr>WELDING ACCESSORIES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Soumendu Maji</dc:creator>
  <cp:keywords/>
  <dc:description/>
  <cp:lastModifiedBy>Soumendu Maji</cp:lastModifiedBy>
  <cp:revision/>
  <dcterms:created xsi:type="dcterms:W3CDTF">2025-09-14T04:30:09Z</dcterms:created>
  <dcterms:modified xsi:type="dcterms:W3CDTF">2026-04-06T08:42:02Z</dcterms:modified>
  <cp:category/>
  <cp:contentStatus/>
</cp:coreProperties>
</file>